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0" rupBuild="29518"/>
  <workbookPr/>
  <mc:AlternateContent xmlns:mc="http://schemas.openxmlformats.org/markup-compatibility/2006">
    <mc:Choice Requires="x15">
      <x15ac:absPath xmlns:x15ac="http://schemas.microsoft.com/office/spreadsheetml/2010/11/ac" url="https://dwarkadhishoverseas-my.sharepoint.com/personal/anuj_dwarkadhishoverseas_onmicrosoft_com/Documents/"/>
    </mc:Choice>
  </mc:AlternateContent>
  <xr:revisionPtr revIDLastSave="0" documentId="8_{E83E6256-D847-46FF-9B9B-03EE032E41D5}" xr6:coauthVersionLast="47" xr6:coauthVersionMax="47" xr10:uidLastSave="{00000000-0000-0000-0000-000000000000}"/>
  <bookViews>
    <workbookView xWindow="-120" yWindow="-120" windowWidth="20730" windowHeight="11160" xr2:uid="{62A0F25A-D20E-47AC-87F5-EF14CBB35FDD}"/>
  </bookViews>
  <sheets>
    <sheet name="Sheet1" sheetId="1" r:id="rId1"/>
    <sheet name="ROSL Status by PORT and Gateway" sheetId="2" r:id="rId2"/>
    <sheet name="Count of SB No by IEC and GST D" sheetId="3" r:id="rId3"/>
    <sheet name="PORT vs Status vs ROSL Amount" sheetId="4" r:id="rId4"/>
  </sheets>
  <calcPr calcId="191028"/>
  <pivotCaches>
    <pivotCache cacheId="1686" r:id="rId5"/>
    <pivotCache cacheId="168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32" i="1" l="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2"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3" i="1"/>
  <c r="O4" i="1"/>
  <c r="O5" i="1"/>
  <c r="O6" i="1"/>
  <c r="O7" i="1"/>
  <c r="O8" i="1"/>
  <c r="O9" i="1"/>
  <c r="O10" i="1"/>
  <c r="O11" i="1"/>
  <c r="O12"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2" i="1"/>
  <c r="J35" i="1"/>
  <c r="K35" i="1" s="1"/>
  <c r="J5" i="1"/>
  <c r="K5" i="1" s="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 i="1"/>
  <c r="L4" i="1"/>
  <c r="L5" i="1"/>
  <c r="L6" i="1"/>
  <c r="L7" i="1"/>
  <c r="L8" i="1"/>
  <c r="L9" i="1"/>
  <c r="L10" i="1"/>
  <c r="L11" i="1"/>
  <c r="L12" i="1"/>
  <c r="L13" i="1"/>
  <c r="L14" i="1"/>
  <c r="L15" i="1"/>
  <c r="L16" i="1"/>
  <c r="L17" i="1"/>
  <c r="L18" i="1"/>
  <c r="L19" i="1"/>
  <c r="L20" i="1"/>
  <c r="L2" i="1"/>
  <c r="J3" i="1"/>
  <c r="K3" i="1" s="1"/>
  <c r="J4" i="1"/>
  <c r="K4"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2" i="1"/>
  <c r="K2" i="1" s="1"/>
</calcChain>
</file>

<file path=xl/sharedStrings.xml><?xml version="1.0" encoding="utf-8"?>
<sst xmlns="http://schemas.openxmlformats.org/spreadsheetml/2006/main" count="4425" uniqueCount="2212">
  <si>
    <t>PORT Code</t>
  </si>
  <si>
    <t>SB no</t>
  </si>
  <si>
    <t>SB date</t>
  </si>
  <si>
    <t>Details</t>
  </si>
  <si>
    <t>Current status</t>
  </si>
  <si>
    <t>EGM no</t>
  </si>
  <si>
    <t>ROSL</t>
  </si>
  <si>
    <t>GST</t>
  </si>
  <si>
    <t>Gateway</t>
  </si>
  <si>
    <t>Clainmed, Not Claimed And NULL for ROSL</t>
  </si>
  <si>
    <t>ROSL Status Flag</t>
  </si>
  <si>
    <t>IEC</t>
  </si>
  <si>
    <t>Values For ROSL Status Flag</t>
  </si>
  <si>
    <t>Days Since SB Date</t>
  </si>
  <si>
    <t>GST Status Check</t>
  </si>
  <si>
    <t>PORT &amp; Status Concatenation</t>
  </si>
  <si>
    <t>TUGLAKABAD ICD (INTKD6)</t>
  </si>
  <si>
    <t>2017/07/01</t>
  </si>
  <si>
    <t xml:space="preserve">IEC CHA No. Job No. Job Date Port of Discharge Total Package Gross Weight (Kg) FOB(INR) Total Cess (INR) Drawback STR Total (DBK+STR) CIN NO. CIN DT. Reward Flag
0597024561  AALFP3921GCH001  4320940  01 JUL 2017 12:07  USCHI  10  4135  1237814  0  24756  0  24756  N.A.  N.A.  Click here to view item wise reward details </t>
  </si>
  <si>
    <t xml:space="preserve">Current Que LEO Date EP Copy Print Status DBK Scroll No Scroll Date EGM Integration Status
HIST  12 JUL 2017 00:07  Y  21243/2017  28 AUG 2017 00:08  Y </t>
  </si>
  <si>
    <t xml:space="preserve">EGM No. EGM Date Container No. Seal No. Error Message
Z17061407  2017-7-14 0.0.0.0  OOCU6870924  394223  N.A. </t>
  </si>
  <si>
    <t xml:space="preserve">ROSL Availed Amount(INR) Scroll Number Scroll Date
N  0  ROSL NOT CLAIMED  ROSL NOT CLAIMED </t>
  </si>
  <si>
    <t xml:space="preserve">GSTIN    -    06AXXXXXXXXC1ZH
Invoice Number Invoice Date IGST Paid(INR)
XXXXXXXX-18  2017-06-30  24756 </t>
  </si>
  <si>
    <t xml:space="preserve">AWB No. Gateway Port Gateway EGM No. Gateway EGM Date Gateway Site ID Error Code
N.A.  INMUN1  137976  2017-11-01 00:00:00.0  INMUN1  S </t>
  </si>
  <si>
    <t xml:space="preserve">IEC CHA No. Job No. Job Date Port of Discharge Total Package Gross Weight (Kg) FOB(INR) Total Cess (INR) Drawback STR Total (DBK+STR) CIN NO. CIN DT. Reward Flag
0597024561  AALFP3921GCH001  4326197  01 JUL 2017 12:07  USCHI  4  786  356431.8  0  7129  0  7129  N.A.  N.A.  Click here to view item wise reward details </t>
  </si>
  <si>
    <t xml:space="preserve">Current Que LEO Date EP Copy Print Status DBK Scroll No Scroll Date EGM Integration Status
HIST  04 JUL 2017 00:07  Y  21243/2017  28 AUG 2017 00:08  Y </t>
  </si>
  <si>
    <t xml:space="preserve">EGM No. EGM Date Container No. Seal No. Error Message
R957660607  2017-7-6 0.0.0.0  TCNU3143079  393607  N.A. </t>
  </si>
  <si>
    <t xml:space="preserve">GSTIN    -    06AXXXXXXXXC1ZH
Invoice Number Invoice Date IGST Paid(INR)
XXXXXXXX-18  2017-06-30  7128 </t>
  </si>
  <si>
    <t xml:space="preserve">AWB No. Gateway Port Gateway EGM No. Gateway EGM Date Gateway Site ID Error Code
N.A.  INMUN1  131465  2017-07-14 00:00:00.0  INMUN1  S </t>
  </si>
  <si>
    <t>2017/07/06</t>
  </si>
  <si>
    <t xml:space="preserve">IEC CHA No. Job No. Job Date Port of Discharge Total Package Gross Weight (Kg) FOB(INR) Total Cess (INR) Drawback STR Total (DBK+STR) CIN NO. CIN DT. Reward Flag
0506074994  AMMPS0835PCH001  4432951  06 JUL 2017 12:07  SGSIN  212  9380.412  1068035.08  0  10638  0  10638  N.A.  N.A.  Click here to view item wise reward details </t>
  </si>
  <si>
    <t xml:space="preserve">Current Que LEO Date EP Copy Print Status DBK Scroll No Scroll Date EGM Integration Status
HIST  07 JUL 2017 00:07  Y  21243/2017  28 AUG 2017 00:08  Y </t>
  </si>
  <si>
    <t xml:space="preserve">EGM No. EGM Date Container No. Seal No. Error Message
R247461607  2017-7-16 0.0.0.0  SEGU6019208  394241  N.A. </t>
  </si>
  <si>
    <t xml:space="preserve">GSTIN    -    07AXXXXXXXXM1Z2
Invoice Number Invoice Date IGST Paid(INR)
XXXXXXXXXXX-18  2017-07-04  119771 </t>
  </si>
  <si>
    <t xml:space="preserve">AWB No. Gateway Port Gateway EGM No. Gateway EGM Date Gateway Site ID Error Code
N.A.  INNSA1  N.A.  N.A.  N.A.  N.A. </t>
  </si>
  <si>
    <t>2017/07/26</t>
  </si>
  <si>
    <t xml:space="preserve">IEC CHA No. Job No. Job Date Port of Discharge Total Package Gross Weight (Kg) FOB(INR) Total Cess (INR) Drawback STR Total (DBK+STR) CIN NO. CIN DT. Reward Flag
0505023954  AACFL6638BCH001  4917548  26 JUL 2017 12:07  THLCH  9  1095  444373  0  0  0  0  N.A.  N.A.  Click here to view item wise reward details </t>
  </si>
  <si>
    <t xml:space="preserve">Current Que LEO Date EP Copy Print Status DBK Scroll No Scroll Date EGM Integration Status
HIST  27 JUL 2017 00:07  R  N.A.  N.A.  Y </t>
  </si>
  <si>
    <t xml:space="preserve">EGM No. EGM Date Container No. Seal No. Error Message
R1817100108  2017-8-1 0.0.0.0  NYKU3719229  386464  N.A. </t>
  </si>
  <si>
    <t xml:space="preserve">ROSL Availed Amount(INR) Scroll Number Scroll Date
NULL  NULL  NULL  NULL </t>
  </si>
  <si>
    <t xml:space="preserve">GSTIN    -    06AXXXXXXXXJ1ZG
Invoice Number Invoice Date IGST Paid(INR)
XXXXXXXXXXX142  2017-07-24  48384 </t>
  </si>
  <si>
    <t xml:space="preserve">IEC CHA No. Job No. Job Date Port of Discharge Total Package Gross Weight (Kg) FOB(INR) Total Cess (INR) Drawback STR Total (DBK+STR) CIN NO. CIN DT. Reward Flag
0508003300  AHDPK8975CCH001  4932027  26 JUL 2017 12:07  NLRTM  10  3191  830072  0  16601  0  16601  N.A.  N.A.  Click here to view item wise reward details </t>
  </si>
  <si>
    <t xml:space="preserve">Current Que LEO Date EP Copy Print Status DBK Scroll No Scroll Date EGM Integration Status
HIST  28 JUL 2017 00:07  Y  21484/2017  07 SEP 2017 00:09  Y </t>
  </si>
  <si>
    <t xml:space="preserve">EGM No. EGM Date Container No. Seal No. Error Message
R237360308  2017-8-3 0.0.0.0  FCIU8411137  396483  N.A. </t>
  </si>
  <si>
    <t xml:space="preserve">GSTIN    -    06AXXXXXXXXH1ZO
Invoice Number Invoice Date IGST Paid(INR)
XXXXXXXXXXXX-18  2017-07-17  149412 </t>
  </si>
  <si>
    <t xml:space="preserve">AWB No. Gateway Port Gateway EGM No. Gateway EGM Date Gateway Site ID Error Code
N.A.  INNSA1  132025  2017-07-24 00:00:00.0  INNSA1  S </t>
  </si>
  <si>
    <t>2017/07/27</t>
  </si>
  <si>
    <t xml:space="preserve">IEC CHA No. Job No. Job Date Port of Discharge Total Package Gross Weight (Kg) FOB(INR) Total Cess (INR) Drawback STR Total (DBK+STR) CIN NO. CIN DT. Reward Flag
0596009488  ADFFS3281FCH001  4939510  27 JUL 2017 12:07  USOKD  1859  16630  8675968.81  0  94833  0  94833  N.A.  N.A.  Click here to view item wise reward details </t>
  </si>
  <si>
    <t xml:space="preserve">Current Que LEO Date EP Copy Print Status DBK Scroll No Scroll Date EGM Integration Status
HIST  28 JUL 2017 00:07  Y  22528/2017  10 NOV 2017 00:11  Y </t>
  </si>
  <si>
    <t xml:space="preserve">EGM No. EGM Date Container No. Seal No. Error Message
R857522807  2017-7-28 0.0.0.0  TCLU8863794  395965  N.A. </t>
  </si>
  <si>
    <t xml:space="preserve">GSTIN    -    09AXXXXXXXXC1Z4
Invoice Number Invoice Date IGST Paid(INR)
XXXXXXXXXXXXXX-18  2017-07-13  433793 </t>
  </si>
  <si>
    <t xml:space="preserve">AWB No. Gateway Port Gateway EGM No. Gateway EGM Date Gateway Site ID Error Code
N.A.  INMUN1  132702  2017-08-04 00:00:00.0  INMUN1  S </t>
  </si>
  <si>
    <t xml:space="preserve">IEC CHA No. Job No. Job Date Port of Discharge Total Package Gross Weight (Kg) FOB(INR) Total Cess (INR) Drawback STR Total (DBK+STR) CIN NO. CIN DT. Reward Flag
0506070484  AATPS3087NCH001  4955812  27 JUL 2017 12:07  VNSGN  26  5364.2  514985  0  0  0  0  N.A.  N.A.  Click here to view item wise reward details </t>
  </si>
  <si>
    <t xml:space="preserve">Current Que LEO Date EP Copy Print Status DBK Scroll No Scroll Date EGM Integration Status
HIST  31 JUL 2017 00:07  Y  N.A.  N.A.  Y </t>
  </si>
  <si>
    <t xml:space="preserve">EGM No. EGM Date Container No. Seal No. Error Message
J187520408  2017-8-4 0.0.0.0  BMOU2608183  397312  N.A. </t>
  </si>
  <si>
    <t xml:space="preserve">GSTIN    -    06AXXXXXXXXL1ZE
Invoice Number Invoice Date IGST Paid(INR)
XXXXX/16  2017-07-27  145084 </t>
  </si>
  <si>
    <t xml:space="preserve">IEC CHA No. Job No. Job Date Port of Discharge Total Package Gross Weight (Kg) FOB(INR) Total Cess (INR) Drawback STR Total (DBK+STR) CIN NO. CIN DT. Reward Flag
0514019492  AABCS7195NCH001  4957545  27 JUL 2017 12:07  FIRAU  2  250  224989.94  0  902  0  902  N.A.  N.A.  Click here to view item wise reward details </t>
  </si>
  <si>
    <t xml:space="preserve">Current Que LEO Date EP Copy Print Status DBK Scroll No Scroll Date EGM Integration Status
HIST  29 JUL 2017 00:07  Y  21484/2017  07 SEP 2017 00:09  Y </t>
  </si>
  <si>
    <t xml:space="preserve">EGM No. EGM Date Container No. Seal No. Error Message
T757460308  2017-8-3 0.0.0.0  CBHU9524016  397314  N.A. </t>
  </si>
  <si>
    <t xml:space="preserve">GSTIN    -    06AXXXXXXXXH2ZJ
Invoice Number Invoice Date IGST Paid(INR)
XXXXXXXXX/18  2017-07-18  26869 </t>
  </si>
  <si>
    <t xml:space="preserve">AWB No. Gateway Port Gateway EGM No. Gateway EGM Date Gateway Site ID Error Code
N.A.  INMUN1  134053  2017-08-28 00:00:00.0  INMUN1  ST </t>
  </si>
  <si>
    <t xml:space="preserve">IEC CHA No. Job No. Job Date Port of Discharge Total Package Gross Weight (Kg) FOB(INR) Total Cess (INR) Drawback STR Total (DBK+STR) CIN NO. CIN DT. Reward Flag
0508003300  AHDPK8975CCH001  4958843  27 JUL 2017 12:07  SGSIN  6  2187  444246  0  8885  0  8885  N.A.  N.A.  Click here to view item wise reward details </t>
  </si>
  <si>
    <t xml:space="preserve">EGM No. EGM Date Container No. Seal No. Error Message
T957180208  2017-8-2 0.0.0.0  NYKU5798417  396296  N.A. </t>
  </si>
  <si>
    <t xml:space="preserve">GSTIN    -    06AXXXXXXXXH1ZO
Invoice Number Invoice Date IGST Paid(INR)
XXXXXXXXXXXX-18  2017-07-25  79964 </t>
  </si>
  <si>
    <t xml:space="preserve">AWB No. Gateway Port Gateway EGM No. Gateway EGM Date Gateway Site ID Error Code
N.A.  INNSA1  131685  2017-07-18 00:00:00.0  INNSA1  S </t>
  </si>
  <si>
    <t xml:space="preserve">IEC CHA No. Job No. Job Date Port of Discharge Total Package Gross Weight (Kg) FOB(INR) Total Cess (INR) Drawback STR Total (DBK+STR) CIN NO. CIN DT. Reward Flag
0508003300  AHDPK8975CCH001  4958864  27 JUL 2017 12:07  SGSIN  38  18164  3836670  0  76733  0  76733  N.A.  N.A.  Click here to view item wise reward details </t>
  </si>
  <si>
    <t xml:space="preserve">GSTIN    -    06AXXXXXXXXH1ZO
Invoice Number Invoice Date IGST Paid(INR)
XXXXXXXXXXXX-18  2017-07-25  690600 </t>
  </si>
  <si>
    <t xml:space="preserve">IEC CHA No. Job No. Job Date Port of Discharge Total Package Gross Weight (Kg) FOB(INR) Total Cess (INR) Drawback STR Total (DBK+STR) CIN NO. CIN DT. Reward Flag
0508003300  AHDPK8975CCH001  4959794  27 JUL 2017 12:07  SGSIN  45  24734  7984172.5  0  159683  0  159683  N.A.  N.A.  Click here to view item wise reward details </t>
  </si>
  <si>
    <t xml:space="preserve">EGM No. EGM Date Container No. Seal No. Error Message
R777360308  2017-8-3 0.0.0.0  NYKU4725340  396275  N.A. </t>
  </si>
  <si>
    <t xml:space="preserve">GSTIN    -    06AXXXXXXXXH1ZO
Invoice Number Invoice Date IGST Paid(INR)
XXXXXXXXXXXX-18  2017-07-25  1437149 </t>
  </si>
  <si>
    <t>2017/07/28</t>
  </si>
  <si>
    <t xml:space="preserve">IEC CHA No. Job No. Job Date Port of Discharge Total Package Gross Weight (Kg) FOB(INR) Total Cess (INR) Drawback STR Total (DBK+STR) CIN NO. CIN DT. Reward Flag
0513056661  AHEPG6607LCH001  4964475  28 JUL 2017 12:07  ALDRZ  194  9553.6  1221257.4  0  52787  0  52787  N.A.  N.A.  Click here to view item wise reward details </t>
  </si>
  <si>
    <t xml:space="preserve">Current Que LEO Date EP Copy Print Status DBK Scroll No Scroll Date EGM Integration Status
HIST  31 JUL 2017 00:07  Y  22032/2017  06 OCT 2017 00:10  Y </t>
  </si>
  <si>
    <t xml:space="preserve">EGM No. EGM Date Container No. Seal No. Error Message
J187520408  2017-8-4 0.0.0.0  IPXU3207943  397043  N.A. </t>
  </si>
  <si>
    <t xml:space="preserve">GSTIN    -    07DXXXXXXXXB1ZH
Invoice Number Invoice Date IGST Paid(INR)
XXXXXXXXX/01  2017-07-24  354254 </t>
  </si>
  <si>
    <t xml:space="preserve">IEC CHA No. Job No. Job Date Port of Discharge Total Package Gross Weight (Kg) FOB(INR) Total Cess (INR) Drawback STR Total (DBK+STR) CIN NO. CIN DT. Reward Flag
0593058577  ADWPT4152FCH001  4967401  28 JUL 2017 12:07  BEANR  8  7650  1567732  0  31355  0  31355  N.A.  N.A.  Click here to view item wise reward details </t>
  </si>
  <si>
    <t xml:space="preserve">Current Que LEO Date EP Copy Print Status DBK Scroll No Scroll Date EGM Integration Status
HIST  31 JUL 2017 00:07  Y  21484/2017  07 SEP 2017 00:09  Y </t>
  </si>
  <si>
    <t xml:space="preserve">EGM No. EGM Date Container No. Seal No. Error Message
T967140708  2017-8-7 0.0.0.0  CRSU1370710  397366  N.A. </t>
  </si>
  <si>
    <t xml:space="preserve">GSTIN    -    06AXXXXXXXXK1ZT
Invoice Number Invoice Date IGST Paid(INR)
XXXXXXXXXXXX002  2017-07-24  129600 </t>
  </si>
  <si>
    <t xml:space="preserve">IEC CHA No. Job No. Job Date Port of Discharge Total Package Gross Weight (Kg) FOB(INR) Total Cess (INR) Drawback STR Total (DBK+STR) CIN NO. CIN DT. Reward Flag
0516929674  AAJPA1764ECH001  4981455  28 JUL 2017 12:07  AEJEA  1105  12723  3580704.04  0  53711  0  53711  N.A.  N.A.  Click here to view item wise reward details </t>
  </si>
  <si>
    <t xml:space="preserve">Current Que LEO Date EP Copy Print Status DBK Scroll No Scroll Date EGM Integration Status
HIST  02 AUG 2017 00:08  Y  21484/2017  07 SEP 2017 00:09  Y </t>
  </si>
  <si>
    <t xml:space="preserve">EGM No. EGM Date Container No. Seal No. Error Message
R627900608  2017-8-6 0.0.0.0  ESPU8041896  397273  N.A. </t>
  </si>
  <si>
    <t xml:space="preserve">GSTIN    -    06AXXXXXXXXK1Z7
Invoice Number Invoice Date IGST Paid(INR)
006  2017-07-27  647383 </t>
  </si>
  <si>
    <t xml:space="preserve">AWB No. Gateway Port Gateway EGM No. Gateway EGM Date Gateway Site ID Error Code
N.A.  INNSA1  132629  2017-08-03 00:00:00.0  INNSA1  S </t>
  </si>
  <si>
    <t>2017/07/29</t>
  </si>
  <si>
    <t xml:space="preserve">IEC CHA No. Job No. Job Date Port of Discharge Total Package Gross Weight (Kg) FOB(INR) Total Cess (INR) Drawback STR Total (DBK+STR) CIN NO. CIN DT. Reward Flag
0506046231  ADFFS3281FCH001  5012821  29 JUL 2017 12:07  GBTEE  22  22672  1792796.58  0  26892  0  26892  N.A.  N.A.  Click here to view item wise reward details </t>
  </si>
  <si>
    <t xml:space="preserve">Current Que LEO Date EP Copy Print Status DBK Scroll No Scroll Date EGM Integration Status
HIST  01 AUG 2017 00:08  Y  29620/2018  13 SEP 2018 00:09  Y </t>
  </si>
  <si>
    <t xml:space="preserve">EGM No. EGM Date Container No. Seal No. Error Message
J187520408  2017-8-4 0.0.0.0  TCNU8236209  009265  N.A. </t>
  </si>
  <si>
    <t xml:space="preserve">GSTIN    -    06AXXXXXXXXQ1ZC
Invoice Number Invoice Date IGST Paid(INR)
XXXXXXXXXXX/09  2017-07-29  249841 </t>
  </si>
  <si>
    <t xml:space="preserve">AWB No. Gateway Port Gateway EGM No. Gateway EGM Date Gateway Site ID Error Code
N.A.  INNSA1  132146  2017-07-26 00:00:00.0  INNSA1  S </t>
  </si>
  <si>
    <t xml:space="preserve">IEC CHA No. Job No. Job Date Port of Discharge Total Package Gross Weight (Kg) FOB(INR) Total Cess (INR) Drawback STR Total (DBK+STR) CIN NO. CIN DT. Reward Flag
0591026007  AHDPK8975CCH001  5014940  29 JUL 2017 12:07  USCHI  11  6695.87  876541.3  0  17199  0  17199  N.A.  N.A.  Click here to view item wise reward details </t>
  </si>
  <si>
    <t xml:space="preserve">Current Que LEO Date EP Copy Print Status DBK Scroll No Scroll Date EGM Integration Status
HIST  04 AUG 2017 00:08  Y  21593/2017  12 SEP 2017 00:09  Y </t>
  </si>
  <si>
    <t xml:space="preserve">EGM No. EGM Date Container No. Seal No. Error Message
R187761108  2017-8-11 0.0.0.0  IALU2255050  398038  N.A. </t>
  </si>
  <si>
    <t xml:space="preserve">GSTIN    -    09AXXXXXXXXC2Z0
Invoice Number Invoice Date IGST Paid(INR)
XXXXXXXXXXXXXX7-1  2017-07-10  53663 </t>
  </si>
  <si>
    <t xml:space="preserve">AWB No. Gateway Port Gateway EGM No. Gateway EGM Date Gateway Site ID Error Code
N.A.  INNSA1  132431  2017-07-31 00:00:00.0  INNSA1  S </t>
  </si>
  <si>
    <t>2017/07/31</t>
  </si>
  <si>
    <t xml:space="preserve">IEC CHA No. Job No. Job Date Port of Discharge Total Package Gross Weight (Kg) FOB(INR) Total Cess (INR) Drawback STR Total (DBK+STR) CIN NO. CIN DT. Reward Flag
0500016143  AEAPD9155RCH001  5026572  31 JUL 2017 12:07  DEHAM  78  1938  477658.43  0  6592  0  6592  N.A.  N.A.  Click here to view item wise reward details </t>
  </si>
  <si>
    <t xml:space="preserve">Current Que LEO Date EP Copy Print Status DBK Scroll No Scroll Date EGM Integration Status
HIST  03 AUG 2017 00:08  Y  21593/2017  12 SEP 2017 00:09  Y </t>
  </si>
  <si>
    <t xml:space="preserve">EGM No. EGM Date Container No. Seal No. Error Message
R757581008  2017-8-10 0.0.0.0  GESU5984802  398012  N.A. </t>
  </si>
  <si>
    <t xml:space="preserve">GSTIN    -    07AXXXXXXXXE1Z5
Invoice Number Invoice Date IGST Paid(INR)
681  2017-07-22  78589 </t>
  </si>
  <si>
    <t xml:space="preserve">IEC CHA No. Job No. Job Date Port of Discharge Total Package Gross Weight (Kg) FOB(INR) Total Cess (INR) Drawback STR Total (DBK+STR) CIN NO. CIN DT. Reward Flag
1308012381  AADCS9253MCH002  5035989  31 JUL 2017 12:07  DEHAM  72  6232  7004230.27  0  140085  0  140085  N.A.  N.A.  Click here to view item wise reward details </t>
  </si>
  <si>
    <t xml:space="preserve">EGM No. EGM Date Container No. Seal No. Error Message
T857300308  2017-8-3 0.0.0.0  FCIU2829217  014230  N.A. </t>
  </si>
  <si>
    <t xml:space="preserve">GSTIN    -    08AXXXXXXXXR1ZR
Invoice Number Invoice Date IGST Paid(INR)
XXXXXXXXXXXXXX078  2017-07-24  1961181 </t>
  </si>
  <si>
    <t xml:space="preserve">AWB No. Gateway Port Gateway EGM No. Gateway EGM Date Gateway Site ID Error Code
N.A.  INMUN1  134637  2017-09-06 00:00:00.0  INMUN1  S </t>
  </si>
  <si>
    <t xml:space="preserve">IEC CHA No. Job No. Job Date Port of Discharge Total Package Gross Weight (Kg) FOB(INR) Total Cess (INR) Drawback STR Total (DBK+STR) CIN NO. CIN DT. Reward Flag
0588055964  AAICS8856RCH001  5042770  31 JUL 2017 12:07  AUMEL  1  87  196215  0  3924  0  3924  N.A.  N.A.  Click here to view item wise reward details </t>
  </si>
  <si>
    <t xml:space="preserve">Current Que LEO Date EP Copy Print Status DBK Scroll No Scroll Date EGM Integration Status
HIST  02 AUG 2017 00:08  Y  21593/2017  12 SEP 2017 00:09  Y </t>
  </si>
  <si>
    <t xml:space="preserve">EGM No. EGM Date Container No. Seal No. Error Message
R757581008  2017-8-10 0.0.0.0  VSTU9000189  398018  N.A. </t>
  </si>
  <si>
    <t xml:space="preserve">GSTIN    -    07AXXXXXXXXQ1ZK
Invoice Number Invoice Date IGST Paid(INR)
X/26  2017-07-31  35661 </t>
  </si>
  <si>
    <t xml:space="preserve">AWB No. Gateway Port Gateway EGM No. Gateway EGM Date Gateway Site ID Error Code
N.A.  INNSA1  133033  2017-08-10 00:00:00.0  INNSA1  C </t>
  </si>
  <si>
    <t xml:space="preserve">IEC CHA No. Job No. Job Date Port of Discharge Total Package Gross Weight (Kg) FOB(INR) Total Cess (INR) Drawback STR Total (DBK+STR) CIN NO. CIN DT. Reward Flag
3306001678  AMEPS4194BCH001  5046037  31 JUL 2017 12:07  GBFXT  23  13328  6578725.36  0  28470  0  28470  N.A.  N.A.  Click here to view item wise reward details </t>
  </si>
  <si>
    <t xml:space="preserve">Current Que LEO Date EP Copy Print Status DBK Scroll No Scroll Date EGM Integration Status
HIST  04 AUG 2017 00:08  Y  21484/2017  07 SEP 2017 00:09  Y </t>
  </si>
  <si>
    <t xml:space="preserve">EGM No. EGM Date Container No. Seal No. Error Message
R627900608  2017-8-6 0.0.0.0  TCLU5214235  397616  N.A. </t>
  </si>
  <si>
    <t xml:space="preserve">GSTIN    -    06AXXXXXXXXG1ZX
Invoice Number Invoice Date IGST Paid(INR)
XXXXXXXXXXXXXX001  2017-07-28  14574 </t>
  </si>
  <si>
    <t>Please Wait....</t>
  </si>
  <si>
    <t>2017/08/01</t>
  </si>
  <si>
    <t xml:space="preserve">IEC CHA No. Job No. Job Date Port of Discharge Total Package Gross Weight (Kg) FOB(INR) Total Cess (INR) Drawback STR Total (DBK+STR) CIN NO. CIN DT. Reward Flag
0517528762  AHFPR4981HCH001  5068904  01 AUG 2017 12:08  KWKWI  97  2782.53  3348526.5  0  254777  0  254777  N.A.  N.A.  Click here to view item wise reward details </t>
  </si>
  <si>
    <t xml:space="preserve">Current Que LEO Date EP Copy Print Status DBK Scroll No Scroll Date EGM Integration Status
HIST  03 AUG 2017 00:08  Y  21652/2017  14 SEP 2017 00:09  Y </t>
  </si>
  <si>
    <t xml:space="preserve">EGM No. EGM Date Container No. Seal No. Error Message
R467841108  2017-8-11 0.0.0.0  PCIU8208557  398061  N.A. </t>
  </si>
  <si>
    <t xml:space="preserve">ROSL Availed Amount(INR) Scroll Number Scroll Date
Y  109868  25635/2017  2017-9-15 0.0.0.0 </t>
  </si>
  <si>
    <t xml:space="preserve">GSTIN    -    07AXXXXXXXXF1Z8
Invoice Number Invoice Date IGST Paid(INR)
XXXXXX001  2017-08-01  167681 </t>
  </si>
  <si>
    <t xml:space="preserve">AWB No. Gateway Port Gateway EGM No. Gateway EGM Date Gateway Site ID Error Code
N.A.  INNSA1  169501  2019-03-29 00:00:00.0  INNSA1  S </t>
  </si>
  <si>
    <t xml:space="preserve">IEC CHA No. Job No. Job Date Port of Discharge Total Package Gross Weight (Kg) FOB(INR) Total Cess (INR) Drawback STR Total (DBK+STR) CIN NO. CIN DT. Reward Flag
0509037844  AGYPS4804QCH001  5074148  01 AUG 2017 12:08  AUSYD  1  140  140970  0  8459  0  8459  N.A.  N.A.  Click here to view item wise reward details </t>
  </si>
  <si>
    <t xml:space="preserve">EGM No. EGM Date Container No. Seal No. Error Message
R757581008  2017-8-10 0.0.0.0  GESU4903350  398031  N.A. </t>
  </si>
  <si>
    <t xml:space="preserve">GSTIN    -    09AXXXXXXXXK2ZT
Invoice Number Invoice Date IGST Paid(INR)
37  2017-07-31  25718 </t>
  </si>
  <si>
    <t xml:space="preserve">AWB No. Gateway Port Gateway EGM No. Gateway EGM Date Gateway Site ID Error Code
N.A.  INNSA1  132812  2017-08-07 00:00:00.0  INNSA1  C </t>
  </si>
  <si>
    <t xml:space="preserve">IEC CHA No. Job No. Job Date Port of Discharge Total Package Gross Weight (Kg) FOB(INR) Total Cess (INR) Drawback STR Total (DBK+STR) CIN NO. CIN DT. Reward Flag
0596061315  AABCC8115GCH002  5078635  01 AUG 2017 12:08  AEJEA  181  2440  740254.43  0  30293  0  30293  N.A.  N.A.  Click here to view item wise reward details </t>
  </si>
  <si>
    <t xml:space="preserve">EGM No. EGM Date Container No. Seal No. Error Message
T587961208  2017-8-12 0.0.0.0  VMLU3602131  398041  N.A. </t>
  </si>
  <si>
    <t xml:space="preserve">GSTIN    -    07AXXXXXXXXM1ZP
Invoice Number Invoice Date IGST Paid(INR)
XXXX265  2017-08-01  16847 </t>
  </si>
  <si>
    <t>2017/08/02</t>
  </si>
  <si>
    <t xml:space="preserve">IEC CHA No. Job No. Job Date Port of Discharge Total Package Gross Weight (Kg) FOB(INR) Total Cess (INR) Drawback STR Total (DBK+STR) CIN NO. CIN DT. Reward Flag
0598005498  AANCS5422NCH004  5087233  02 AUG 2017 12:08  MACAS  220  3609.59  452450.2  0  7418  0  7418  N.A.  N.A.  Click here to view item wise reward details </t>
  </si>
  <si>
    <t xml:space="preserve">Current Que LEO Date EP Copy Print Status DBK Scroll No Scroll Date EGM Integration Status
HIST  10 AUG 2017 00:08  Y  21593/2017  12 SEP 2017 00:09  Y </t>
  </si>
  <si>
    <t xml:space="preserve">EGM No. EGM Date Container No. Seal No. Error Message
T857661708  2017-8-17 0.0.0.0  MRKU7285779  398326  N.A. </t>
  </si>
  <si>
    <t xml:space="preserve">GSTIN    -    07AXXXXXXXXL1ZI
Invoice Number Invoice Date IGST Paid(INR)
XXXXXXX017  2017-07-03  66431 </t>
  </si>
  <si>
    <t xml:space="preserve">AWB No. Gateway Port Gateway EGM No. Gateway EGM Date Gateway Site ID Error Code
N.A.  INPAV1  132210  2017-07-26 00:00:00.0  INPAV1  S </t>
  </si>
  <si>
    <t xml:space="preserve">IEC CHA No. Job No. Job Date Port of Discharge Total Package Gross Weight (Kg) FOB(INR) Total Cess (INR) Drawback STR Total (DBK+STR) CIN NO. CIN DT. Reward Flag
0596009488  ADFFS3281FCH001  5092423  02 AUG 2017 12:08  ITSPE  1004  7676.556  6205570.52  0  55644  0  55644  N.A.  N.A.  Click here to view item wise reward details </t>
  </si>
  <si>
    <t xml:space="preserve">EGM No. EGM Date Container No. Seal No. Error Message
T887020608  2017-8-6 0.0.0.0  CSLU2276080  396967  N.A. </t>
  </si>
  <si>
    <t xml:space="preserve">GSTIN    -    09AXXXXXXXXC1Z4
Invoice Number Invoice Date IGST Paid(INR)
XXXXXXXXXXXXXX-18  2017-07-15  310271 </t>
  </si>
  <si>
    <t xml:space="preserve">AWB No. Gateway Port Gateway EGM No. Gateway EGM Date Gateway Site ID Error Code
N.A.  INNSA1  132737  2017-08-04 00:00:00.0  INNSA1  S </t>
  </si>
  <si>
    <t xml:space="preserve">IEC CHA No. Job No. Job Date Port of Discharge Total Package Gross Weight (Kg) FOB(INR) Total Cess (INR) Drawback STR Total (DBK+STR) CIN NO. CIN DT. Reward Flag
0596009488  ADFFS3281FCH001  5092762  02 AUG 2017 12:08  ITSPE  1346  14240  9617899.87  0  91490  0  91490  N.A.  N.A.  Click here to view item wise reward details </t>
  </si>
  <si>
    <t xml:space="preserve">Current Que LEO Date EP Copy Print Status DBK Scroll No Scroll Date EGM Integration Status
HIST  03 AUG 2017 00:08  Y  21484/2017  07 SEP 2017 00:09  Y </t>
  </si>
  <si>
    <t xml:space="preserve">EGM No. EGM Date Container No. Seal No. Error Message
T887020608  2017-8-6 0.0.0.0  CCLU5302047  396980  N.A. </t>
  </si>
  <si>
    <t xml:space="preserve">GSTIN    -    09AXXXXXXXXC1Z4
Invoice Number Invoice Date IGST Paid(INR)
XXXXXXXXXXXXXX-18  2017-07-15  436205 </t>
  </si>
  <si>
    <t xml:space="preserve">AWB No. Gateway Port Gateway EGM No. Gateway EGM Date Gateway Site ID Error Code
N.A.  INNSA1  132731  2017-08-04 00:00:00.0  INNSA1  S </t>
  </si>
  <si>
    <t xml:space="preserve">IEC CHA No. Job No. Job Date Port of Discharge Total Package Gross Weight (Kg) FOB(INR) Total Cess (INR) Drawback STR Total (DBK+STR) CIN NO. CIN DT. Reward Flag
0609003542  AOFPS8466PCH001  5102223  02 AUG 2017 12:08  AUSYD  162  2999  782675.6  0  11740  0  11740  N.A.  N.A.  Click here to view item wise reward details </t>
  </si>
  <si>
    <t xml:space="preserve">Current Que LEO Date EP Copy Print Status DBK Scroll No Scroll Date EGM Integration Status
HIST  11 AUG 2017 00:08  Y  21593/2017  12 SEP 2017 00:09  Y </t>
  </si>
  <si>
    <t xml:space="preserve">EGM No. EGM Date Container No. Seal No. Error Message
R797122008  2017-8-20 0.0.0.0  RFSU2002442  398692  N.A. </t>
  </si>
  <si>
    <t xml:space="preserve">GSTIN    -    09AXXXXXXXXC1ZR
Invoice Number Invoice Date IGST Paid(INR)
62  2017-07-31  293987 </t>
  </si>
  <si>
    <t xml:space="preserve">AWB No. Gateway Port Gateway EGM No. Gateway EGM Date Gateway Site ID Error Code
N.A.  INNSA1  133243  2017-08-14 00:00:00.0  INNSA1  C </t>
  </si>
  <si>
    <t xml:space="preserve">IEC CHA No. Job No. Job Date Port of Discharge Total Package Gross Weight (Kg) FOB(INR) Total Cess (INR) Drawback STR Total (DBK+STR) CIN NO. CIN DT. Reward Flag
0510011683  AACFS5709ACH001  5103496  02 AUG 2017 12:08  GBSOU  18  432  62871.2  0  0  0  0  N.A.  N.A.  Click here to view item wise reward details </t>
  </si>
  <si>
    <t xml:space="preserve">Current Que LEO Date EP Copy Print Status DBK Scroll No Scroll Date EGM Integration Status
HIST  10 AUG 2017 00:08  Y  N.A.  N.A.  Y </t>
  </si>
  <si>
    <t xml:space="preserve">EGM No. EGM Date Container No. Seal No. Error Message
T757422208  2017-8-22 0.0.0.0  MSKU5798590  399514  N.A. </t>
  </si>
  <si>
    <t xml:space="preserve">GSTIN    -    07AXXXXXXXXA1ZA
Invoice Number Invoice Date IGST Paid(INR)
XXXXXXXXXX-18  2017-07-25  5502 </t>
  </si>
  <si>
    <t xml:space="preserve">AWB No. Gateway Port Gateway EGM No. Gateway EGM Date Gateway Site ID Error Code
N.A.  INMUN1  134015  2017-08-28 00:00:00.0  INMUN1  S </t>
  </si>
  <si>
    <t xml:space="preserve">IEC CHA No. Job No. Job Date Port of Discharge Total Package Gross Weight (Kg) FOB(INR) Total Cess (INR) Drawback STR Total (DBK+STR) CIN NO. CIN DT. Reward Flag
0510056601  AARPM0995PCH001  5107926  02 AUG 2017 12:08  THLCH  1  880  625475  0  3320  0  3320  N.A.  N.A.  Click here to view item wise reward details </t>
  </si>
  <si>
    <t xml:space="preserve">EGM No. EGM Date Container No. Seal No. Error Message
R757581008  2017-8-10 0.0.0.0  TCKU9945570  397386  N.A. </t>
  </si>
  <si>
    <t xml:space="preserve">GSTIN    -    08AXXXXXXXXR1Z1
Invoice Number Invoice Date IGST Paid(INR)
XXXXXXXXXXXXXX008  2017-07-31  112585 </t>
  </si>
  <si>
    <t xml:space="preserve">IEC CHA No. Job No. Job Date Port of Discharge Total Package Gross Weight (Kg) FOB(INR) Total Cess (INR) Drawback STR Total (DBK+STR) CIN NO. CIN DT. Reward Flag
0502021373  AAHCR2213ACH001  5112426  02 AUG 2017 12:08  CAMTR  8  80.465  483006.4  0  7245  0  7245  N.A.  N.A.  Click here to view item wise reward details </t>
  </si>
  <si>
    <t xml:space="preserve">Current Que LEO Date EP Copy Print Status DBK Scroll No Scroll Date EGM Integration Status
HIST  05 AUG 2017 00:08  Y  21593/2017  12 SEP 2017 00:09  Y </t>
  </si>
  <si>
    <t xml:space="preserve">EGM No. EGM Date Container No. Seal No. Error Message
R847681008  2017-8-10 0.0.0.0  THLU2130227  398013  N.A. </t>
  </si>
  <si>
    <t xml:space="preserve">GSTIN    -    07AXXXXXXXXR1ZH
Invoice Number Invoice Date IGST Paid(INR)
XXXXXXXXXX018  2017-07-27  135238 </t>
  </si>
  <si>
    <t xml:space="preserve">AWB No. Gateway Port Gateway EGM No. Gateway EGM Date Gateway Site ID Error Code
N.A.  INNSA1  132481  2017-07-31 00:00:00.0  INNSA1  C </t>
  </si>
  <si>
    <t>2017/08/03</t>
  </si>
  <si>
    <t xml:space="preserve">IEC CHA No. Job No. Job Date Port of Discharge Total Package Gross Weight (Kg) FOB(INR) Total Cess (INR) Drawback STR Total (DBK+STR) CIN NO. CIN DT. Reward Flag
0507051360  AAAFJ1721HCH058  5122783  03 AUG 2017 12:08  THBKK  1  150  189503.05  0  3790  0  3790  N.A.  N.A.  Click here to view item wise reward details </t>
  </si>
  <si>
    <t xml:space="preserve">EGM No. EGM Date Container No. Seal No. Error Message
T587961208  2017-8-12 0.0.0.0  ZCSU2559071  398088  N.A. </t>
  </si>
  <si>
    <t xml:space="preserve">GSTIN    -    06AXXXXXXXXR2ZO
Invoice Number Invoice Date IGST Paid(INR)
XXXXXXXXXXXXX/17  2017-08-01  53596 </t>
  </si>
  <si>
    <t xml:space="preserve">AWB No. Gateway Port Gateway EGM No. Gateway EGM Date Gateway Site ID Error Code
N.A.  INNSA1  133033  2017-08-10 00:00:00.0  INNSA1  S </t>
  </si>
  <si>
    <t xml:space="preserve">IEC CHA No. Job No. Job Date Port of Discharge Total Package Gross Weight (Kg) FOB(INR) Total Cess (INR) Drawback STR Total (DBK+STR) CIN NO. CIN DT. Reward Flag
0515042064  AFYPK1878FCH001  5125414  03 AUG 2017 12:08  HUBUD  60  725.8  365633  0  3182  0  3182  N.A.  N.A.  Click here to view item wise reward details </t>
  </si>
  <si>
    <t xml:space="preserve">Current Que LEO Date EP Copy Print Status DBK Scroll No Scroll Date EGM Integration Status
HIST  08 AUG 2017 00:08  Y  21652/2017  14 SEP 2017 00:09  Y </t>
  </si>
  <si>
    <t xml:space="preserve">EGM No. EGM Date Container No. Seal No. Error Message
R347041908  2017-8-19 0.0.0.0  TCNU4953686  398681  N.A. </t>
  </si>
  <si>
    <t xml:space="preserve">GSTIN    -    07AXXXXXXXXK1ZB
Invoice Number Invoice Date IGST Paid(INR)
XXXXXXXXXX-18  2017-08-03  28865 </t>
  </si>
  <si>
    <t xml:space="preserve">AWB No. Gateway Port Gateway EGM No. Gateway EGM Date Gateway Site ID Error Code
N.A.  INNSA1  132991  2017-08-09 00:00:00.0  INNSA1  S </t>
  </si>
  <si>
    <t xml:space="preserve">IEC CHA No. Job No. Job Date Port of Discharge Total Package Gross Weight (Kg) FOB(INR) Total Cess (INR) Drawback STR Total (DBK+STR) CIN NO. CIN DT. Reward Flag
0592023052  AABCG4164HCH003  5126864  03 AUG 2017 12:08  RULED  30  14280  2553209.65  0  51064  0  51064  N.A.  N.A.  Click here to view item wise reward details </t>
  </si>
  <si>
    <t xml:space="preserve">Current Que LEO Date EP Copy Print Status DBK Scroll No Scroll Date EGM Integration Status
HIST  05 AUG 2017 00:08  Y  21484/2017  07 SEP 2017 00:09  Y </t>
  </si>
  <si>
    <t xml:space="preserve">EGM No. EGM Date Container No. Seal No. Error Message
T747880608  2017-8-6 0.0.0.0  MSKU8535597  015881  N.A. </t>
  </si>
  <si>
    <t xml:space="preserve">GSTIN    -    06AXXXXXXXXE4ZU
Invoice Number Invoice Date IGST Paid(INR)
XXXXXXXXXXXXXX-18  2017-08-01  3268108 </t>
  </si>
  <si>
    <t xml:space="preserve">AWB No. Gateway Port Gateway EGM No. Gateway EGM Date Gateway Site ID Error Code
N.A.  INPAV1  132205  2017-07-26 00:00:00.0  INPAV1  S </t>
  </si>
  <si>
    <t xml:space="preserve">IEC CHA No. Job No. Job Date Port of Discharge Total Package Gross Weight (Kg) FOB(INR) Total Cess (INR) Drawback STR Total (DBK+STR) CIN NO. CIN DT. Reward Flag
0509007406  AUHPS0698FCH002  5127639  03 AUG 2017 12:08  AUSYD  29  310  557479.94  0  40907  0  40907  N.A.  N.A.  Click here to view item wise reward details </t>
  </si>
  <si>
    <t xml:space="preserve">Current Que LEO Date EP Copy Print Status DBK Scroll No Scroll Date EGM Integration Status
HIST  08 AUG 2017 00:08  Y  21593/2017  12 SEP 2017 00:09  Y </t>
  </si>
  <si>
    <t xml:space="preserve">ROSL Availed Amount(INR) Scroll Number Scroll Date
Y  15758  25632/2017  2017-9-10 0.0.0.0 </t>
  </si>
  <si>
    <t xml:space="preserve">GSTIN    -    07AXXXXXXXXE1ZF
Invoice Number Invoice Date IGST Paid(INR)
XXX006  2017-07-29  28099 </t>
  </si>
  <si>
    <t xml:space="preserve">IEC CHA No. Job No. Job Date Port of Discharge Total Package Gross Weight (Kg) FOB(INR) Total Cess (INR) Drawback STR Total (DBK+STR) CIN NO. CIN DT. Reward Flag
0502037547  AVAPS6694RCH001  5132614  03 AUG 2017 12:08  USNYC  1  247  274015.2  0  5480  0  5480  N.A.  N.A.  Click here to view item wise reward details </t>
  </si>
  <si>
    <t xml:space="preserve">EGM No. EGM Date Container No. Seal No. Error Message
R367241508  2017-8-15 0.0.0.0  TEMU7607563  398610  N.A. </t>
  </si>
  <si>
    <t xml:space="preserve">GSTIN    -    06AXXXXXXXXA1Z5
Invoice Number Invoice Date IGST Paid(INR)
XXXXXXX-18  2017-07-11  49321 </t>
  </si>
  <si>
    <t xml:space="preserve">AWB No. Gateway Port Gateway EGM No. Gateway EGM Date Gateway Site ID Error Code
N.A.  INMUN1  160432  2018-10-31 00:00:00.0  INMUN1  S </t>
  </si>
  <si>
    <t xml:space="preserve">IEC CHA No. Job No. Job Date Port of Discharge Total Package Gross Weight (Kg) FOB(INR) Total Cess (INR) Drawback STR Total (DBK+STR) CIN NO. CIN DT. Reward Flag
0511034661  AABCC8115GCH002  5136673  03 AUG 2017 12:08  AEJEA  64  306  1002715.8  0  0  0  0  N.A.  N.A.  Click here to view item wise reward details </t>
  </si>
  <si>
    <t xml:space="preserve">Current Que LEO Date EP Copy Print Status DBK Scroll No Scroll Date EGM Integration Status
HIST  05 AUG 2017 00:08  Y  N.A.  N.A.  Y </t>
  </si>
  <si>
    <t xml:space="preserve">EGM No. EGM Date Container No. Seal No. Error Message
T587961208  2017-8-12 0.0.0.0  FCIU8449214  398049  N.A. </t>
  </si>
  <si>
    <t xml:space="preserve">GSTIN    -    07AXXXXXXXXL1ZH
Invoice Number Invoice Date IGST Paid(INR)
006  2017-08-03  71889 </t>
  </si>
  <si>
    <t xml:space="preserve">AWB No. Gateway Port Gateway EGM No. Gateway EGM Date Gateway Site ID Error Code
N.A.  INNSA1  132332  2017-07-28 00:00:00.0  INNSA1  S </t>
  </si>
  <si>
    <t>2017/08/04</t>
  </si>
  <si>
    <t xml:space="preserve">IEC CHA No. Job No. Job Date Port of Discharge Total Package Gross Weight (Kg) FOB(INR) Total Cess (INR) Drawback STR Total (DBK+STR) CIN NO. CIN DT. Reward Flag
0513045228  AAICS8856RCH001  5145688  04 AUG 2017 12:08  LKCMB  123  815  1013422.31  0  5771  0  5771  N.A.  N.A.  Click here to view item wise reward details </t>
  </si>
  <si>
    <t xml:space="preserve">Current Que LEO Date EP Copy Print Status DBK Scroll No Scroll Date EGM Integration Status
HIST  18 AUG 2017 00:08  Y  21593/2017  12 SEP 2017 00:09  Y </t>
  </si>
  <si>
    <t xml:space="preserve">EGM No. EGM Date Container No. Seal No. Error Message
R957502308  2017-8-23 0.0.0.0  ZCSU6529476  399516  N.A. </t>
  </si>
  <si>
    <t xml:space="preserve">GSTIN    -    07AXXXXXXXXA1ZL
Invoice Number Invoice Date IGST Paid(INR)
53  2017-07-31  141585 </t>
  </si>
  <si>
    <t xml:space="preserve">AWB No. Gateway Port Gateway EGM No. Gateway EGM Date Gateway Site ID Error Code
N.A.  INPAV1  133808  2017-08-24 00:00:00.0  INPAV1  S </t>
  </si>
  <si>
    <t xml:space="preserve">IEC CHA No. Job No. Job Date Port of Discharge Total Package Gross Weight (Kg) FOB(INR) Total Cess (INR) Drawback STR Total (DBK+STR) CIN NO. CIN DT. Reward Flag
0507068645  AABCT3664RCH001  5161689  04 AUG 2017 12:08  PHMNL  9  791  36091.61  0  722  0  722  N.A.  N.A.  Click here to view item wise reward details </t>
  </si>
  <si>
    <t xml:space="preserve">Current Que LEO Date EP Copy Print Status DBK Scroll No Scroll Date EGM Integration Status
HIST  07 AUG 2017 00:08  Y  21593/2017  12 SEP 2017 00:09  Y </t>
  </si>
  <si>
    <t xml:space="preserve">EGM No. EGM Date Container No. Seal No. Error Message
R467841108  2017-8-11 0.0.0.0  SIKU3077183  398074  N.A. </t>
  </si>
  <si>
    <t xml:space="preserve">GSTIN    -    09AXXXXXXXXF1ZI
Invoice Number Invoice Date IGST Paid(INR)
XXXXX000  2017-07-28  10105 </t>
  </si>
  <si>
    <t>2017/08/05</t>
  </si>
  <si>
    <t xml:space="preserve">IEC CHA No. Job No. Job Date Port of Discharge Total Package Gross Weight (Kg) FOB(INR) Total Cess (INR) Drawback STR Total (DBK+STR) CIN NO. CIN DT. Reward Flag
0592023052  AATPS3087NCH001  5171603  05 AUG 2017 12:08  CATIY  3  1117.58  264343.16  0  5287  0  5287  N.A.  N.A.  Click here to view item wise reward details </t>
  </si>
  <si>
    <t xml:space="preserve">EGM No. EGM Date Container No. Seal No. Error Message
R247281508  2017-8-15 0.0.0.0  CLHU8419145  398617  N.A. </t>
  </si>
  <si>
    <t xml:space="preserve">GSTIN    -    06AXXXXXXXXE4ZU
Invoice Number Invoice Date IGST Paid(INR)
XXXXXXXXXXXXXX-18  2017-08-01  74016 </t>
  </si>
  <si>
    <t xml:space="preserve">IEC CHA No. Job No. Job Date Port of Discharge Total Package Gross Weight (Kg) FOB(INR) Total Cess (INR) Drawback STR Total (DBK+STR) CIN NO. CIN DT. Reward Flag
0593056868  AAAFA8105CCH001  5187167  05 AUG 2017 12:08  DJJIB  487  27750.15  5034285  0  352400  0  352400  N.A.  N.A.  Click here to view item wise reward details </t>
  </si>
  <si>
    <t xml:space="preserve">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 </t>
  </si>
  <si>
    <t xml:space="preserve">EGM No. EGM Date Container No. Seal No. Error Message
J167821108  2017-8-11 0.0.0.0  MRSU3359958  398193  N.A. </t>
  </si>
  <si>
    <t xml:space="preserve">GSTIN    -    07AXXXXXXXXH1ZR
Invoice Number Invoice Date IGST Paid(INR)
XXXXXXXXXXX002  2017-08-05  604113 </t>
  </si>
  <si>
    <t xml:space="preserve">AWB No. Gateway Port Gateway EGM No. Gateway EGM Date Gateway Site ID Error Code
N.A.  INMUN1  133184  2017-08-11 00:00:00.0  INMUN1  S </t>
  </si>
  <si>
    <t xml:space="preserve">IEC CHA No. Job No. Job Date Port of Discharge Total Package Gross Weight (Kg) FOB(INR) Total Cess (INR) Drawback STR Total (DBK+STR) CIN NO. CIN DT. Reward Flag
0500062609  ALGPK6363BCH001  5190319  05 AUG 2017 12:08  OMSOH  5  5210  894292.65  0  17886  0  17886  N.A.  N.A.  Click here to view item wise reward details </t>
  </si>
  <si>
    <t xml:space="preserve">EGM No. EGM Date Container No. Seal No. Error Message
R367241508  2017-8-15 0.0.0.0  BSIU9154848  398377  N.A. </t>
  </si>
  <si>
    <t xml:space="preserve">GSTIN    -    07AXXXXXXXXG1ZH
Invoice Number Invoice Date IGST Paid(INR)
007  2017-08-01  160973 </t>
  </si>
  <si>
    <t xml:space="preserve">AWB No. Gateway Port Gateway EGM No. Gateway EGM Date Gateway Site ID Error Code
N.A.  INMUN1  133567  2017-08-18 00:00:00.0  INMUN1  S </t>
  </si>
  <si>
    <t>2017/08/07</t>
  </si>
  <si>
    <t xml:space="preserve">IEC CHA No. Job No. Job Date Port of Discharge Total Package Gross Weight (Kg) FOB(INR) Total Cess (INR) Drawback STR Total (DBK+STR) CIN NO. CIN DT. Reward Flag
0588050814  AFXPK5610ECH001  5200974  07 AUG 2017 12:08  JPTYO  2  56  37516.42  0  0  0  0  N.A.  N.A.  Click here to view item wise reward details </t>
  </si>
  <si>
    <t xml:space="preserve">EGM No. EGM Date Container No. Seal No. Error Message
R467841108  2017-8-11 0.0.0.0  TCKU3614596  398071  N.A. </t>
  </si>
  <si>
    <t xml:space="preserve">GSTIN    -    07AXXXXXXXXR1ZM
Invoice Number Invoice Date IGST Paid(INR)
X105  2017-08-01  8292 </t>
  </si>
  <si>
    <t>2017/08/08</t>
  </si>
  <si>
    <t xml:space="preserve">IEC CHA No. Job No. Job Date Port of Discharge Total Package Gross Weight (Kg) FOB(INR) Total Cess (INR) Drawback STR Total (DBK+STR) CIN NO. CIN DT. Reward Flag
0515918024  AGYPS4804QCH001  5217366  08 AUG 2017 12:08  AEJEA  18  1064  789144.6  0  15468  0  15468  N.A.  N.A.  Click here to view item wise reward details </t>
  </si>
  <si>
    <t xml:space="preserve">EGM No. EGM Date Container No. Seal No. Error Message
R487082008  2017-8-20 0.0.0.0  CLHU9043812  398678  N.A. </t>
  </si>
  <si>
    <t xml:space="preserve">GSTIN    -    07AXXXXXXXXG1ZP
Invoice Number Invoice Date IGST Paid(INR)
X189  2017-08-07  199238 
X190  2017-08-07  14244 </t>
  </si>
  <si>
    <t xml:space="preserve">AWB No. Gateway Port Gateway EGM No. Gateway EGM Date Gateway Site ID Error Code
N.A.  INMUN1  137180  2017-10-18 00:00:00.0  INMUN1  ST </t>
  </si>
  <si>
    <t xml:space="preserve">IEC CHA No. Job No. Job Date Port of Discharge Total Package Gross Weight (Kg) FOB(INR) Total Cess (INR) Drawback STR Total (DBK+STR) CIN NO. CIN DT. Reward Flag
0502077905  AHDPK8975CCH001  5232403  08 AUG 2017 12:08  MYWSP  7  5950  490858.5  0  5399  0  5399  N.A.  N.A.  Click here to view item wise reward details </t>
  </si>
  <si>
    <t xml:space="preserve">Current Que LEO Date EP Copy Print Status DBK Scroll No Scroll Date EGM Integration Status
HIST  11 AUG 2017 00:08  Y  21652/2017  14 SEP 2017 00:09  Y </t>
  </si>
  <si>
    <t xml:space="preserve">EGM No. EGM Date Container No. Seal No. Error Message
R347041908  2017-8-19 0.0.0.0  CCSU5653592  398689  N.A. </t>
  </si>
  <si>
    <t xml:space="preserve">GSTIN    -    06AXXXXXXXXJ1ZI
Invoice Number Invoice Date IGST Paid(INR)
XXXXXXXXXXXX018  2017-08-08  88693 </t>
  </si>
  <si>
    <t xml:space="preserve">IEC CHA No. Job No. Job Date Port of Discharge Total Package Gross Weight (Kg) FOB(INR) Total Cess (INR) Drawback STR Total (DBK+STR) CIN NO. CIN DT. Reward Flag
0506054306  ABBFA4018NCH001  5233244  08 AUG 2017 12:08  DEHAM  25  487  434843.44  0  33774  0  33774  N.A.  N.A.  Click here to view item wise reward details </t>
  </si>
  <si>
    <t xml:space="preserve">EGM No. EGM Date Container No. Seal No. Error Message
T847481608  2017-8-16 0.0.0.0  SUDU7507315  398620  N.A. </t>
  </si>
  <si>
    <t xml:space="preserve">GSTIN    -    07AXXXXXXXXF1Z6
Invoice Number Invoice Date IGST Paid(INR)
XXXX613  2017-08-02  105585 </t>
  </si>
  <si>
    <t xml:space="preserve">AWB No. Gateway Port Gateway EGM No. Gateway EGM Date Gateway Site ID Error Code
N.A.  INMUN1  133566  2017-08-18 00:00:00.0  INMUN1  S </t>
  </si>
  <si>
    <t>2017/08/09</t>
  </si>
  <si>
    <t xml:space="preserve">IEC CHA No. Job No. Job Date Port of Discharge Total Package Gross Weight (Kg) FOB(INR) Total Cess (INR) Drawback STR Total (DBK+STR) CIN NO. CIN DT. Reward Flag
0500042616  AJEPK5545PCH001  5246395  09 AUG 2017 12:08  IEDUB  3  124.8  121267.13  0  2425  0  2425  N.A.  N.A.  Click here to view item wise reward details </t>
  </si>
  <si>
    <t xml:space="preserve">Current Que LEO Date EP Copy Print Status DBK Scroll No Scroll Date EGM Integration Status
HIST  10 AUG 2017 00:08  Y  21652/2017  14 SEP 2017 00:09  Y </t>
  </si>
  <si>
    <t xml:space="preserve">EGM No. EGM Date Container No. Seal No. Error Message
T567841908  2017-8-19 0.0.0.0  CCLU6335831  398647  N.A. </t>
  </si>
  <si>
    <t xml:space="preserve">GSTIN    -    07AXXXXXXXXR1ZF
Invoice Number Invoice Date IGST Paid(INR)
XXXXXXXXXXX010  2017-07-31  35910 </t>
  </si>
  <si>
    <t xml:space="preserve">AWB No. Gateway Port Gateway EGM No. Gateway EGM Date Gateway Site ID Error Code
N.A.  INNSA1  132938  2017-08-09 00:00:00.0  INNSA1  S </t>
  </si>
  <si>
    <t xml:space="preserve">IEC CHA No. Job No. Job Date Port of Discharge Total Package Gross Weight (Kg) FOB(INR) Total Cess (INR) Drawback STR Total (DBK+STR) CIN NO. CIN DT. Reward Flag
3097011234  AAACL3717ACH006  5248128  09 AUG 2017 12:08  ITGOA  6  2850  404859  0  8097  0  8097  N.A.  N.A.  Click here to view item wise reward details </t>
  </si>
  <si>
    <t xml:space="preserve">Current Que LEO Date EP Copy Print Status DBK Scroll No Scroll Date EGM Integration Status
HIST  14 AUG 2017 00:08  Y  21652/2017  14 SEP 2017 00:09  Y </t>
  </si>
  <si>
    <t xml:space="preserve">EGM No. EGM Date Container No. Seal No. Error Message
T957582308  2017-8-23 0.0.0.0  FCIU5841073  399543  N.A. </t>
  </si>
  <si>
    <t xml:space="preserve">GSTIN    -    03AXXXXXXXXL1Z0
Invoice Number Invoice Date IGST Paid(INR)
XXXX736  2017-08-09  111367 </t>
  </si>
  <si>
    <t xml:space="preserve">AWB No. Gateway Port Gateway EGM No. Gateway EGM Date Gateway Site ID Error Code
N.A.  INMUN1  134053  2017-08-28 00:00:00.0  INMUN1  S </t>
  </si>
  <si>
    <t xml:space="preserve">IEC CHA No. Job No. Job Date Port of Discharge Total Package Gross Weight (Kg) FOB(INR) Total Cess (INR) Drawback STR Total (DBK+STR) CIN NO. CIN DT. Reward Flag
AAKFN5762C  AHVPD5199DCH001  5252194  09 AUG 2017 12:08  USSIO  7  2975  4303349.56  0  43033  0  43033  N.A.  N.A.  Click here to view item wise reward details </t>
  </si>
  <si>
    <t xml:space="preserve">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 </t>
  </si>
  <si>
    <t xml:space="preserve">EGM No. EGM Date Container No. Seal No. Error Message
N.A.  N.A.  N.A.  N.A.  N.A. </t>
  </si>
  <si>
    <t xml:space="preserve">GSTIN    -    07AXXXXXXXXC1Z8
Invoice Number Invoice Date IGST Paid(INR)
XXX-75  2017-08-08  784898 </t>
  </si>
  <si>
    <t>No Record found</t>
  </si>
  <si>
    <t xml:space="preserve">IEC CHA No. Job No. Job Date Port of Discharge Total Package Gross Weight (Kg) FOB(INR) Total Cess (INR) Drawback STR Total (DBK+STR) CIN NO. CIN DT. Reward Flag
0517542374  AAAPC3345CCH001  5262192  09 AUG 2017 12:08  AEJEA  26  950  1030234.69  0  20528  0  20528  N.A.  N.A.  Click here to view item wise reward details </t>
  </si>
  <si>
    <t xml:space="preserve">GSTIN    -    06AXXXXXXXXR1ZC
Invoice Number Invoice Date IGST Paid(INR)
XXX/01  2017-07-28  187353 </t>
  </si>
  <si>
    <t>2017/08/10</t>
  </si>
  <si>
    <t xml:space="preserve">IEC CHA No. Job No. Job Date Port of Discharge Total Package Gross Weight (Kg) FOB(INR) Total Cess (INR) Drawback STR Total (DBK+STR) CIN NO. CIN DT. Reward Flag
0595025714  AAACP3974HCH001  5268773  10 AUG 2017 12:08  OMSOH  364  3086.72  590121.28  0  8852  0  8852  N.A.  N.A.  Click here to view item wise reward details </t>
  </si>
  <si>
    <t xml:space="preserve">Current Que LEO Date EP Copy Print Status DBK Scroll No Scroll Date EGM Integration Status
HIST  16 AUG 2017 00:08  Y  21593/2017  12 SEP 2017 00:09  Y </t>
  </si>
  <si>
    <t xml:space="preserve">EGM No. EGM Date Container No. Seal No. Error Message
R387561708  2017-8-17 0.0.0.0  CXDU1101779  398772  N.A. </t>
  </si>
  <si>
    <t xml:space="preserve">GSTIN    -    06AXXXXXXXXF1Z5
Invoice Number Invoice Date IGST Paid(INR)
XXXXXXXXXXXXX040  2017-08-09  30806 </t>
  </si>
  <si>
    <t xml:space="preserve">AWB No. Gateway Port Gateway EGM No. Gateway EGM Date Gateway Site ID Error Code
N.A.  INMUN1  N.A.  N.A.  N.A.  N.A. </t>
  </si>
  <si>
    <t xml:space="preserve">IEC CHA No. Job No. Job Date Port of Discharge Total Package Gross Weight (Kg) FOB(INR) Total Cess (INR) Drawback STR Total (DBK+STR) CIN NO. CIN DT. Reward Flag
0507051360  AAAFJ1721HCH058  5281453  10 AUG 2017 12:08  THBKK  1  150  187569.54  0  3751  0  3751  N.A.  N.A.  Click here to view item wise reward details </t>
  </si>
  <si>
    <t xml:space="preserve">GSTIN    -    06AXXXXXXXXR2ZO
Invoice Number Invoice Date IGST Paid(INR)
XXXXXXXXXXXXX/17  2017-08-10  53047 </t>
  </si>
  <si>
    <t xml:space="preserve">IEC CHA No. Job No. Job Date Port of Discharge Total Package Gross Weight (Kg) FOB(INR) Total Cess (INR) Drawback STR Total (DBK+STR) CIN NO. CIN DT. Reward Flag
0514026804  APGPK3937FCH001  5291412  10 AUG 2017 12:08  PKKHI  1113  24708  1492912.5  0  22394  0  22394  N.A.  N.A.  Click here to view item wise reward details </t>
  </si>
  <si>
    <t xml:space="preserve">Current Que LEO Date EP Copy Print Status DBK Scroll No Scroll Date EGM Integration Status
HIST  21 AUG 2017 00:08  Y  24432/2018  25 MAR 2018 00:03  Y </t>
  </si>
  <si>
    <t xml:space="preserve">EGM No. EGM Date Container No. Seal No. Error Message
R467902508  2017-8-25 0.0.0.0  BMOU6258360  399629  N.A. </t>
  </si>
  <si>
    <t xml:space="preserve">GSTIN    -    07AXXXXXXXXH1ZD
Invoice Number Invoice Date IGST Paid(INR)
XXXXXXXXXXXXX-18  2017-08-09  179147 </t>
  </si>
  <si>
    <t xml:space="preserve">AWB No. Gateway Port Gateway EGM No. Gateway EGM Date Gateway Site ID Error Code
N.A.  INMUN1  134209  2017-08-30 00:00:00.0  INMUN1  NC </t>
  </si>
  <si>
    <t xml:space="preserve">IEC CHA No. Job No. Job Date Port of Discharge Total Package Gross Weight (Kg) FOB(INR) Total Cess (INR) Drawback STR Total (DBK+STR) CIN NO. CIN DT. Reward Flag
0598045783  FHMPS1058ECH001  5292835  10 AUG 2017 12:08  LKCMB  51  1050  584819.25  0  0  0  0  N.A.  N.A.  Click here to view item wise reward details </t>
  </si>
  <si>
    <t xml:space="preserve">Current Que LEO Date EP Copy Print Status DBK Scroll No Scroll Date EGM Integration Status
HIST  14 AUG 2017 00:08  Y  N.A.  N.A.  Y </t>
  </si>
  <si>
    <t xml:space="preserve">GSTIN    -    07AXXXXXXXXA1Z1
Invoice Number Invoice Date IGST Paid(INR)
XXXXXXXXXXXXXX-18  2017-08-10  70173 </t>
  </si>
  <si>
    <t>2017/08/11</t>
  </si>
  <si>
    <t xml:space="preserve">IEC CHA No. Job No. Job Date Port of Discharge Total Package Gross Weight (Kg) FOB(INR) Total Cess (INR) Drawback STR Total (DBK+STR) CIN NO. CIN DT. Reward Flag
0509025765  AACCA2655GCH002  5303717  11 AUG 2017 12:08  MUPLU  22  2580  295432.08  0  4288  0  4288  N.A.  N.A.  Click here to view item wise reward details </t>
  </si>
  <si>
    <t xml:space="preserve">Current Que LEO Date EP Copy Print Status DBK Scroll No Scroll Date EGM Integration Status
HIST  16 AUG 2017 00:08  Y  21843/2017  21 SEP 2017 00:09  Y </t>
  </si>
  <si>
    <t xml:space="preserve">EGM No. EGM Date Container No. Seal No. Error Message
TX197783108  2017-8-31 0.0.0.0  WHLU5249023  400237  N.A. </t>
  </si>
  <si>
    <t xml:space="preserve">GSTIN    -    07AXXXXXXXXP1Z3
Invoice Number Invoice Date IGST Paid(INR)
XXXXXXX006  2017-08-08  32141 </t>
  </si>
  <si>
    <t xml:space="preserve">IEC CHA No. Job No. Job Date Port of Discharge Total Package Gross Weight (Kg) FOB(INR) Total Cess (INR) Drawback STR Total (DBK+STR) CIN NO. CIN DT. Reward Flag
0598055665  AARPK1504ACH001  5306450  11 AUG 2017 12:08  FIHEL  25  475  353695.5  0  33601  0  33601  N.A.  N.A.  Click here to view item wise reward details </t>
  </si>
  <si>
    <t xml:space="preserve">Current Que LEO Date EP Copy Print Status DBK Scroll No Scroll Date EGM Integration Status
HIST  24 AUG 2017 00:08  Y  21652/2017  14 SEP 2017 00:09  Y </t>
  </si>
  <si>
    <t xml:space="preserve">EGM No. EGM Date Container No. Seal No. Error Message
R127262708  2017-8-27 0.0.0.0  GESU5095600  399594  N.A. </t>
  </si>
  <si>
    <t xml:space="preserve">GSTIN    -    07AXXXXXXXXD1ZA
Invoice Number Invoice Date IGST Paid(INR)
XXXX008  2017-08-08  53730 </t>
  </si>
  <si>
    <t xml:space="preserve">IEC CHA No. Job No. Job Date Port of Discharge Total Package Gross Weight (Kg) FOB(INR) Total Cess (INR) Drawback STR Total (DBK+STR) CIN NO. CIN DT. Reward Flag
0507051360  AAAFJ1721HCH058  5310153  11 AUG 2017 12:08  THBKK  1  150  187563.26  0  3751  0  3751  N.A.  N.A.  Click here to view item wise reward details </t>
  </si>
  <si>
    <t xml:space="preserve">GSTIN    -    06AXXXXXXXXR2ZO
Invoice Number Invoice Date IGST Paid(INR)
XXXXXXXXXXXXX/17  2017-08-11  53047 </t>
  </si>
  <si>
    <t xml:space="preserve">AWB No. Gateway Port Gateway EGM No. Gateway EGM Date Gateway Site ID Error Code
N.A.  INNSA1  133227  2017-08-14 00:00:00.0  INNSA1  S </t>
  </si>
  <si>
    <t xml:space="preserve">IEC CHA No. Job No. Job Date Port of Discharge Total Package Gross Weight (Kg) FOB(INR) Total Cess (INR) Drawback STR Total (DBK+STR) CIN NO. CIN DT. Reward Flag
0517546981  AICPK6933ACH001  5317376  11 AUG 2017 12:08  SADMN  14  405  247603.86  0  0  0  0  N.A.  N.A.  Click here to view item wise reward details </t>
  </si>
  <si>
    <t xml:space="preserve">Current Que LEO Date EP Copy Print Status DBK Scroll No Scroll Date EGM Integration Status
HIST  16 AUG 2017 00:08  Y  N.A.  N.A.  Y </t>
  </si>
  <si>
    <t xml:space="preserve">EGM No. EGM Date Container No. Seal No. Error Message
R487082008  2017-8-20 0.0.0.0  BSIU2524581  398651  N.A. </t>
  </si>
  <si>
    <t xml:space="preserve">GSTIN    -    07AXXXXXXXXM1Z2
Invoice Number Invoice Date IGST Paid(INR)
35  2017-08-04  44565 </t>
  </si>
  <si>
    <t xml:space="preserve">IEC CHA No. Job No. Job Date Port of Discharge Total Package Gross Weight (Kg) FOB(INR) Total Cess (INR) Drawback STR Total (DBK+STR) CIN NO. CIN DT. Reward Flag
0590022873  AAICS8856RCH001  5319329  11 AUG 2017 12:08  PLGDY  7  5710  927037.5  0  18541  0  18541  N.A.  N.A.  Click here to view item wise reward details </t>
  </si>
  <si>
    <t xml:space="preserve">Current Que LEO Date EP Copy Print Status DBK Scroll No Scroll Date EGM Integration Status
HIST  17 AUG 2017 00:08  Y  21843/2017  21 SEP 2017 00:09  Y </t>
  </si>
  <si>
    <t xml:space="preserve">EGM No. EGM Date Container No. Seal No. Error Message
J207823108  2017-8-31 0.0.0.0  MEDU7287066  400247  N.A. </t>
  </si>
  <si>
    <t xml:space="preserve">GSTIN    -    09AXXXXXXXXE1ZL
Invoice Number Invoice Date IGST Paid(INR)
XXXXXXXX020  2017-08-08  280688 </t>
  </si>
  <si>
    <t xml:space="preserve">AWB No. Gateway Port Gateway EGM No. Gateway EGM Date Gateway Site ID Error Code
N.A.  INMUN1  134147  2017-08-29 00:00:00.0  INMUN1  S </t>
  </si>
  <si>
    <t xml:space="preserve">IEC CHA No. Job No. Job Date Port of Discharge Total Package Gross Weight (Kg) FOB(INR) Total Cess (INR) Drawback STR Total (DBK+STR) CIN NO. CIN DT. Reward Flag
0314035087  AAACJ3309GCH001  5319773  11 AUG 2017 12:08  SNDKR  227  10727  1129229.09  0  16938  0  16938  N.A.  N.A.  Click here to view item wise reward details </t>
  </si>
  <si>
    <t xml:space="preserve">EGM No. EGM Date Container No. Seal No. Error Message
T957582308  2017-8-23 0.0.0.0  MRKU6649496  399437  N.A. </t>
  </si>
  <si>
    <t xml:space="preserve">GSTIN    -    27AXXXXXXXXN1Z4
Invoice Number Invoice Date IGST Paid(INR)
XXXXX042  2017-08-09  5030 </t>
  </si>
  <si>
    <t xml:space="preserve">AWB No. Gateway Port Gateway EGM No. Gateway EGM Date Gateway Site ID Error Code
N.A.  INMUN1  134794  2017-09-08 00:00:00.0  INMUN1  S </t>
  </si>
  <si>
    <t xml:space="preserve">IEC CHA No. Job No. Job Date Port of Discharge Total Package Gross Weight (Kg) FOB(INR) Total Cess (INR) Drawback STR Total (DBK+STR) CIN NO. CIN DT. Reward Flag
0503083518  AACCP0287DCH001  5320861  11 AUG 2017 12:08  FJSUV  42  1078  244576.38  0  3669  0  3669  N.A.  N.A.  Click here to view item wise reward details </t>
  </si>
  <si>
    <t xml:space="preserve">EGM No. EGM Date Container No. Seal No. Error Message
R857781808  2017-8-18 0.0.0.0  UNIU2052951  398643  N.A. </t>
  </si>
  <si>
    <t xml:space="preserve">GSTIN    -    07AXXXXXXXXE1ZF
Invoice Number Invoice Date IGST Paid(INR)
XXXXXXXX017  2017-08-08  27598 </t>
  </si>
  <si>
    <t xml:space="preserve">AWB No. Gateway Port Gateway EGM No. Gateway EGM Date Gateway Site ID Error Code
N.A.  INPAV1  133387  2017-08-16 00:00:00.0  INPAV1  S </t>
  </si>
  <si>
    <t>2017/08/12</t>
  </si>
  <si>
    <t xml:space="preserve">IEC CHA No. Job No. Job Date Port of Discharge Total Package Gross Weight (Kg) FOB(INR) Total Cess (INR) Drawback STR Total (DBK+STR) CIN NO. CIN DT. Reward Flag
0510040519  AATPS3087NCH001  5335219  12 AUG 2017 12:08  RULED  541  4695.4  901244.49  0  5978  0  5978  N.A.  N.A.  Click here to view item wise reward details </t>
  </si>
  <si>
    <t xml:space="preserve">Current Que LEO Date EP Copy Print Status DBK Scroll No Scroll Date EGM Integration Status
HIST  18 AUG 2017 00:08  Y  21652/2017  14 SEP 2017 00:09  Y </t>
  </si>
  <si>
    <t xml:space="preserve">EGM No. EGM Date Container No. Seal No. Error Message
R127262708  2017-8-27 0.0.0.0  HASU1199758  399248  N.A. </t>
  </si>
  <si>
    <t xml:space="preserve">GSTIN    -    07AXXXXXXXXP1Z5
Invoice Number Invoice Date IGST Paid(INR)
XXXXXXXXXXX/17  2017-08-10  45056 </t>
  </si>
  <si>
    <t xml:space="preserve">AWB No. Gateway Port Gateway EGM No. Gateway EGM Date Gateway Site ID Error Code
N.A.  INNSA1  133031  2017-08-10 00:00:00.0  INNSA1  S </t>
  </si>
  <si>
    <t>2017/08/15</t>
  </si>
  <si>
    <t xml:space="preserve">IEC CHA No. Job No. Job Date Port of Discharge Total Package Gross Weight (Kg) FOB(INR) Total Cess (INR) Drawback STR Total (DBK+STR) CIN NO. CIN DT. Reward Flag
0514081988  AATPS3087NCH001  5372063  15 AUG 2017 12:08  SADMM  349  4100  537776.03  0  10756  0  10756  N.A.  N.A.  Click here to view item wise reward details </t>
  </si>
  <si>
    <t xml:space="preserve">EGM No. EGM Date Container No. Seal No. Error Message
R207802508  2017-8-25 0.0.0.0  MSKU7268433  399449  N.A. </t>
  </si>
  <si>
    <t xml:space="preserve">GSTIN    -    07BXXXXXXXXH1ZS
Invoice Number Invoice Date IGST Paid(INR)
XXXXXXXXXXXXXX004  2017-08-10  96798 </t>
  </si>
  <si>
    <t xml:space="preserve">AWB No. Gateway Port Gateway EGM No. Gateway EGM Date Gateway Site ID Error Code
N.A.  INPAV1  132215  2017-07-26 00:00:00.0  INPAV1  S </t>
  </si>
  <si>
    <t>2017/08/16</t>
  </si>
  <si>
    <t xml:space="preserve">IEC CHA No. Job No. Job Date Port of Discharge Total Package Gross Weight (Kg) FOB(INR) Total Cess (INR) Drawback STR Total (DBK+STR) CIN NO. CIN DT. Reward Flag
0512062013  FHMPS1058ECH001  5375921  16 AUG 2017 12:08  UYMVD  58  1241  576334.5  0  43225  0  43225  N.A.  N.A.  Click here to view item wise reward details </t>
  </si>
  <si>
    <t xml:space="preserve">Current Que LEO Date EP Copy Print Status DBK Scroll No Scroll Date EGM Integration Status
HIST  17 AUG 2017 00:08  Y  21652/2017  14 SEP 2017 00:09  Y </t>
  </si>
  <si>
    <t xml:space="preserve">EGM No. EGM Date Container No. Seal No. Error Message
R807442208  2017-8-22 0.0.0.0  PCIU8179227  399508  N.A. </t>
  </si>
  <si>
    <t xml:space="preserve">GSTIN    -    07AXXXXXXXXH1Z4
Invoice Number Invoice Date IGST Paid(INR)
XXXX002  2017-08-02  28671 </t>
  </si>
  <si>
    <t xml:space="preserve">AWB No. Gateway Port Gateway EGM No. Gateway EGM Date Gateway Site ID Error Code
N.A.  INNSA1  134040  2017-08-28 00:00:00.0  INNSA1  S </t>
  </si>
  <si>
    <t xml:space="preserve">IEC CHA No. Job No. Job Date Port of Discharge Total Package Gross Weight (Kg) FOB(INR) Total Cess (INR) Drawback STR Total (DBK+STR) CIN NO. CIN DT. Reward Flag
0513021612  AAGPD5694PCH001  5389841  16 AUG 2017 12:08  DOSDQ  30  730  278973.55  0  5434  0  5434  N.A.  N.A.  Click here to view item wise reward details </t>
  </si>
  <si>
    <t xml:space="preserve">Current Que LEO Date EP Copy Print Status DBK Scroll No Scroll Date EGM Integration Status
HIST  19 AUG 2017 00:08  Y  21843/2017  21 SEP 2017 00:09  Y </t>
  </si>
  <si>
    <t xml:space="preserve">EGM No. EGM Date Container No. Seal No. Error Message
R87120209  2017-9-2 0.0.0.0  TCNU7158117  401010  N.A. </t>
  </si>
  <si>
    <t xml:space="preserve">GSTIN    -    07AXXXXXXXXF2ZV
Invoice Number Invoice Date IGST Paid(INR)
XXXXXXXXXXXXXXX06  2017-08-10  67373 </t>
  </si>
  <si>
    <t xml:space="preserve">AWB No. Gateway Port Gateway EGM No. Gateway EGM Date Gateway Site ID Error Code
N.A.  INNSA1  133314  2017-08-16 00:00:00.0  INNSA1  S </t>
  </si>
  <si>
    <t xml:space="preserve">IEC CHA No. Job No. Job Date Port of Discharge Total Package Gross Weight (Kg) FOB(INR) Total Cess (INR) Drawback STR Total (DBK+STR) CIN NO. CIN DT. Reward Flag
0515042064  AFYPK1878FCH001  5394090  16 AUG 2017 12:08  THBKK  8  96  42423.75  0  636  0  636  N.A.  N.A.  Click here to view item wise reward details </t>
  </si>
  <si>
    <t xml:space="preserve">Current Que LEO Date EP Copy Print Status DBK Scroll No Scroll Date EGM Integration Status
HIST  23 AUG 2017 00:08  Y  21652/2017  14 SEP 2017 00:09  Y </t>
  </si>
  <si>
    <t xml:space="preserve">EGM No. EGM Date Container No. Seal No. Error Message
R127262708  2017-8-27 0.0.0.0  RFCU2145800  399580  N.A. </t>
  </si>
  <si>
    <t xml:space="preserve">GSTIN    -    07AXXXXXXXXK1ZB
Invoice Number Invoice Date IGST Paid(INR)
XXXXXXXXX-18  2017-08-16  6059 </t>
  </si>
  <si>
    <t>2017/08/17</t>
  </si>
  <si>
    <t xml:space="preserve">IEC CHA No. Job No. Job Date Port of Discharge Total Package Gross Weight (Kg) FOB(INR) Total Cess (INR) Drawback STR Total (DBK+STR) CIN NO. CIN DT. Reward Flag
0593058577  ADWPT4152FCH001  5411860  17 AUG 2017 12:08  BGVAR  6  9000  1275380  0  25508  0  25508  N.A.  N.A.  Click here to view item wise reward details </t>
  </si>
  <si>
    <t xml:space="preserve">Current Que LEO Date EP Copy Print Status DBK Scroll No Scroll Date EGM Integration Status
HIST  21 AUG 2017 00:08  Y  21652/2017  14 SEP 2017 00:09  Y </t>
  </si>
  <si>
    <t xml:space="preserve">EGM No. EGM Date Container No. Seal No. Error Message
T957582308  2017-8-23 0.0.0.0  HASU4272343  399531  N.A. </t>
  </si>
  <si>
    <t xml:space="preserve">GSTIN    -    06AXXXXXXXXK1ZT
Invoice Number Invoice Date IGST Paid(INR)
XXXXXXXXXXXXXX502  2017-08-11  127960 </t>
  </si>
  <si>
    <t xml:space="preserve">AWB No. Gateway Port Gateway EGM No. Gateway EGM Date Gateway Site ID Error Code
N.A.  INMUN1  134051  2017-08-28 00:00:00.0  INMUN1  S </t>
  </si>
  <si>
    <t xml:space="preserve">IEC CHA No. Job No. Job Date Port of Discharge Total Package Gross Weight (Kg) FOB(INR) Total Cess (INR) Drawback STR Total (DBK+STR) CIN NO. CIN DT. Reward Flag
0515042064  AFYPK1878FCH001  5417911  17 AUG 2017 12:08  CAMTR  51  637.5  245137  0  3677  0  3677  N.A.  N.A.  Click here to view item wise reward details </t>
  </si>
  <si>
    <t xml:space="preserve">Current Que LEO Date EP Copy Print Status DBK Scroll No Scroll Date EGM Integration Status
HIST  24 AUG 2017 00:08  Y  21843/2017  21 SEP 2017 00:09  Y </t>
  </si>
  <si>
    <t xml:space="preserve">EGM No. EGM Date Container No. Seal No. Error Message
R87120209  2017-9-2 0.0.0.0  TGHU7862323  4001009  N.A. </t>
  </si>
  <si>
    <t xml:space="preserve">GSTIN    -    07AXXXXXXXXK1ZB
Invoice Number Invoice Date IGST Paid(INR)
XXXXXXXXX-18  2017-08-17  23380 </t>
  </si>
  <si>
    <t xml:space="preserve">AWB No. Gateway Port Gateway EGM No. Gateway EGM Date Gateway Site ID Error Code
N.A.  INNSA1  134474  2017-09-04 00:00:00.0  INNSA1  C </t>
  </si>
  <si>
    <t xml:space="preserve">IEC CHA No. Job No. Job Date Port of Discharge Total Package Gross Weight (Kg) FOB(INR) Total Cess (INR) Drawback STR Total (DBK+STR) CIN NO. CIN DT. Reward Flag
0509092110  AAGPB6351DCH001  5422677  17 AUG 2017 12:08  IRBND  395  10895.91  1996650.23  0  81230  0  81230  N.A.  N.A.  Click here to view item wise reward details </t>
  </si>
  <si>
    <t xml:space="preserve">EGM No. EGM Date Container No. Seal No. Error Message
R577683008  2017-8-30 0.0.0.0  AXIU2216000  399584  N.A. </t>
  </si>
  <si>
    <t xml:space="preserve">GSTIN    -    07AXXXXXXXXA1ZV
Invoice Number Invoice Date IGST Paid(INR)
XXXX082  2017-07-31  14173 </t>
  </si>
  <si>
    <t xml:space="preserve">IEC CHA No. Job No. Job Date Port of Discharge Total Package Gross Weight (Kg) FOB(INR) Total Cess (INR) Drawback STR Total (DBK+STR) CIN NO. CIN DT. Reward Flag
0599007931  AASPK7562KCH001  5422767  17 AUG 2017 12:08  EGPSD  6  166.5  173466  0  0  0  0  N.A.  N.A.  Click here to view item wise reward details </t>
  </si>
  <si>
    <t xml:space="preserve">Current Que LEO Date EP Copy Print Status DBK Scroll No Scroll Date EGM Integration Status
HIST  19 AUG 2017 00:08  R  N.A.  N.A.  Y </t>
  </si>
  <si>
    <t xml:space="preserve">EGM No. EGM Date Container No. Seal No. Error Message
R917162708  2017-8-27 0.0.0.0  WHLU5136177  400214  N.A. </t>
  </si>
  <si>
    <t xml:space="preserve">GSTIN    -    09AXXXXXXXXG1ZF
Invoice Number Invoice Date IGST Paid(INR)
XXXXXXXXXXXXXX004  2017-08-17  31224 </t>
  </si>
  <si>
    <t xml:space="preserve">AWB No. Gateway Port Gateway EGM No. Gateway EGM Date Gateway Site ID Error Code
N.A.  INNSA1  134681  2017-09-07 00:00:00.0  INNSA1  S </t>
  </si>
  <si>
    <t xml:space="preserve">IEC CHA No. Job No. Job Date Port of Discharge Total Package Gross Weight (Kg) FOB(INR) Total Cess (INR) Drawback STR Total (DBK+STR) CIN NO. CIN DT. Reward Flag
0514087234  AADCC6624QCH001  5424321  17 AUG 2017 12:08  KEEMB  63  2558.97  746343.75  0  62693  0  62693  N.A.  N.A.  Click here to view item wise reward details </t>
  </si>
  <si>
    <t xml:space="preserve">Current Que LEO Date EP Copy Print Status DBK Scroll No Scroll Date EGM Integration Status
HIST  25 AUG 2017 00:08  Y  21843/2017  21 SEP 2017 00:09  Y </t>
  </si>
  <si>
    <t xml:space="preserve">EGM No. EGM Date Container No. Seal No. Error Message
R1477100209  2017-9-2 0.0.0.0  FSCU9987548  401004  N.A. </t>
  </si>
  <si>
    <t xml:space="preserve">GSTIN    -    07AXXXXXXXXA1ZN
Invoice Number Invoice Date IGST Paid(INR)
XXXXXX-18  2017-08-01  38967 </t>
  </si>
  <si>
    <t xml:space="preserve">AWB No. Gateway Port Gateway EGM No. Gateway EGM Date Gateway Site ID Error Code
N.A.  INMUN1  133949  2017-08-26 00:00:00.0  INMUN1  S </t>
  </si>
  <si>
    <t>2017/08/18</t>
  </si>
  <si>
    <t xml:space="preserve">IEC CHA No. Job No. Job Date Port of Discharge Total Package Gross Weight (Kg) FOB(INR) Total Cess (INR) Drawback STR Total (DBK+STR) CIN NO. CIN DT. Reward Flag
0509006191  AADFT2787LCH001  5445293  18 AUG 2017 12:08  USNYC  46  853.3  248089.5  0  0  0  0  N.A.  N.A.  Click here to view item wise reward details </t>
  </si>
  <si>
    <t xml:space="preserve">Current Que LEO Date EP Copy Print Status DBK Scroll No Scroll Date EGM Integration Status
HIST  23 AUG 2017 00:08  Y  N.A.  N.A.  Y </t>
  </si>
  <si>
    <t xml:space="preserve">EGM No. EGM Date Container No. Seal No. Error Message
R917162708  2017-8-27 0.0.0.0  TCLU9275028  399574  N.A. </t>
  </si>
  <si>
    <t xml:space="preserve">GSTIN    -    07AXXXXXXXXJ1ZV
Invoice Number Invoice Date IGST Paid(INR)
XXXXXXXXXXXXXX/17  2017-08-12  45043 </t>
  </si>
  <si>
    <t xml:space="preserve">AWB No. Gateway Port Gateway EGM No. Gateway EGM Date Gateway Site ID Error Code
N.A.  INNSA1  133604  2017-08-19 00:00:00.0  INNSA1  S </t>
  </si>
  <si>
    <t xml:space="preserve">IEC CHA No. Job No. Job Date Port of Discharge Total Package Gross Weight (Kg) FOB(INR) Total Cess (INR) Drawback STR Total (DBK+STR) CIN NO. CIN DT. Reward Flag
0507062884  AYZPP5973GCH001  5449513  18 AUG 2017 12:08  BRSSZ  55  2705  1350857  0  27017  0  27017  N.A.  N.A.  Click here to view item wise reward details </t>
  </si>
  <si>
    <t xml:space="preserve">EGM No. EGM Date Container No. Seal No. Error Message
R027922508  2017-8-25 0.0.0.0  TCLU9529586  003209  N.A. </t>
  </si>
  <si>
    <t xml:space="preserve">GSTIN    -    09AXXXXXXXXJ1Z6
Invoice Number Invoice Date IGST Paid(INR)
XXXXXXXXXXX018  2017-08-10  243149 </t>
  </si>
  <si>
    <t xml:space="preserve">IEC CHA No. Job No. Job Date Port of Discharge Total Package Gross Weight (Kg) FOB(INR) Total Cess (INR) Drawback STR Total (DBK+STR) CIN NO. CIN DT. Reward Flag
0512002835  AABCJ1595RCH001  5450610  18 AUG 2017 12:08  QADOH  156  4212  521241.75  0  15637  0  15637  N.A.  N.A.  Click here to view item wise reward details </t>
  </si>
  <si>
    <t xml:space="preserve">EGM No. EGM Date Container No. Seal No. Error Message
R557142608  2017-8-26 0.0.0.0  VMLU3500891  399839  N.A. </t>
  </si>
  <si>
    <t xml:space="preserve">GSTIN    -    07AXXXXXXXXG1ZH
Invoice Number Invoice Date IGST Paid(INR)
XXXXXXX/17  2017-08-16  67654 </t>
  </si>
  <si>
    <t>2017/08/19</t>
  </si>
  <si>
    <t xml:space="preserve">IEC CHA No. Job No. Job Date Port of Discharge Total Package Gross Weight (Kg) FOB(INR) Total Cess (INR) Drawback STR Total (DBK+STR) CIN NO. CIN DT. Reward Flag
0589053850  AATPS3087NCH001  5463111  19 AUG 2017 12:08  AEJEA  2  680  81419.04  0  1628  0  1628  N.A.  N.A.  Click here to view item wise reward details </t>
  </si>
  <si>
    <t xml:space="preserve">EGM No. EGM Date Container No. Seal No. Error Message
TX187202708  2017-8-27 0.0.0.0  DRYU9598215  399569  N.A. </t>
  </si>
  <si>
    <t xml:space="preserve">GSTIN    -    06AXXXXXXXXM1ZZ
Invoice Number Invoice Date IGST Paid(INR)
043  2017-08-10  14655 </t>
  </si>
  <si>
    <t>2017/08/20</t>
  </si>
  <si>
    <t xml:space="preserve">IEC CHA No. Job No. Job Date Port of Discharge Total Package Gross Weight (Kg) FOB(INR) Total Cess (INR) Drawback STR Total (DBK+STR) CIN NO. CIN DT. Reward Flag
0516515403  AHDPA0753ECH001  5484326  20 AUG 2017 12:08  GRPIR  17  1786  958973.78  0  41789  0  41789  N.A.  N.A.  Click here to view item wise reward details </t>
  </si>
  <si>
    <t xml:space="preserve">Current Que LEO Date EP Copy Print Status DBK Scroll No Scroll Date EGM Integration Status
HIST  26 AUG 2017 00:08  Y  21652/2017  14 SEP 2017 00:09  Y </t>
  </si>
  <si>
    <t xml:space="preserve">EGM No. EGM Date Container No. Seal No. Error Message
T917703008  2017-8-30 0.0.0.0  EMCU3961694  400391  N.A. </t>
  </si>
  <si>
    <t xml:space="preserve">GSTIN    -    06AXXXXXXXXR1ZB
Invoice Number Invoice Date IGST Paid(INR)
05  2017-08-05  265896 </t>
  </si>
  <si>
    <t xml:space="preserve">AWB No. Gateway Port Gateway EGM No. Gateway EGM Date Gateway Site ID Error Code
N.A.  INNSA1  133611  2017-08-21 00:00:00.0  INNSA1  S </t>
  </si>
  <si>
    <t>2017/08/21</t>
  </si>
  <si>
    <t xml:space="preserve">IEC CHA No. Job No. Job Date Port of Discharge Total Package Gross Weight (Kg) FOB(INR) Total Cess (INR) Drawback STR Total (DBK+STR) CIN NO. CIN DT. Reward Flag
0512072388  AHVPD5199DCH001  5491108  21 AUG 2017 12:08  ZWHRE  143  9247.2  357319.94  0  6041  0  6041  N.A.  N.A.  Click here to view item wise reward details </t>
  </si>
  <si>
    <t xml:space="preserve">Current Que LEO Date EP Copy Print Status DBK Scroll No Scroll Date EGM Integration Status
HIST  24 AUG 2017 00:08  Y  23643/2018  31 JAN 2018 00:01  Y </t>
  </si>
  <si>
    <t xml:space="preserve">EGM No. EGM Date Container No. Seal No. Error Message
TR5624  2018-1-11 0.0.0.0  BEAU4057547  400081  N.A. </t>
  </si>
  <si>
    <t xml:space="preserve">GSTIN    -    07AXXXXXXXXF1Z0
Invoice Number Invoice Date IGST Paid(INR)
XXXXXXXXX-18  2017-08-18  62986 </t>
  </si>
  <si>
    <t xml:space="preserve">IEC CHA No. Job No. Job Date Port of Discharge Total Package Gross Weight (Kg) FOB(INR) Total Cess (INR) Drawback STR Total (DBK+STR) CIN NO. CIN DT. Reward Flag
0504064754  FHMPS1058ECH001  5503987  21 AUG 2017 12:08  LKCMB  8  615  394478.8  0  7703  0  7703  N.A.  N.A.  Click here to view item wise reward details </t>
  </si>
  <si>
    <t xml:space="preserve">EGM No. EGM Date Container No. Seal No. Error Message
T777562908  2017-8-29 0.0.0.0  ZCSU6509680  400220  N.A. </t>
  </si>
  <si>
    <t xml:space="preserve">GSTIN    -    09AXXXXXXXXP2ZF
Invoice Number Invoice Date IGST Paid(INR)
XXXXXXXXX/16  2017-08-17  54751 </t>
  </si>
  <si>
    <t xml:space="preserve">AWB No. Gateway Port Gateway EGM No. Gateway EGM Date Gateway Site ID Error Code
N.A.  INPAV1  131777  2017-07-19 00:00:00.0  INPAV1  L </t>
  </si>
  <si>
    <t xml:space="preserve">IEC CHA No. Job No. Job Date Port of Discharge Total Package Gross Weight (Kg) FOB(INR) Total Cess (INR) Drawback STR Total (DBK+STR) CIN NO. CIN DT. Reward Flag
0592023052  AGYPS4804QCH001  5504396  21 AUG 2017 12:08  MYPKG  1  516.28  190025.14  0  3801  0  3801  N.A.  N.A.  Click here to view item wise reward details </t>
  </si>
  <si>
    <t xml:space="preserve">EGM No. EGM Date Container No. Seal No. Error Message
R917162708  2017-8-27 0.0.0.0  WSCU8099149  399598  N.A. </t>
  </si>
  <si>
    <t xml:space="preserve">GSTIN    -    06AXXXXXXXXE4ZU
Invoice Number Invoice Date IGST Paid(INR)
XXXXXXXXXXXXXX718  2017-08-16  53456 </t>
  </si>
  <si>
    <t xml:space="preserve">IEC CHA No. Job No. Job Date Port of Discharge Total Package Gross Weight (Kg) FOB(INR) Total Cess (INR) Drawback STR Total (DBK+STR) CIN NO. CIN DT. Reward Flag
0511026242  AABCC8115GCH002  5508126  21 AUG 2017 12:08  LKCMB  8  199  237937.5  0  0  0  0  N.A.  N.A.  Click here to view item wise reward details </t>
  </si>
  <si>
    <t xml:space="preserve">Current Que LEO Date EP Copy Print Status DBK Scroll No Scroll Date EGM Integration Status
HIST  24 AUG 2017 00:08  Y  N.A.  N.A.  Y </t>
  </si>
  <si>
    <t xml:space="preserve">EGM No. EGM Date Container No. Seal No. Error Message
T877720509  2017-9-5 0.0.0.0  TCNU9608445  401062  N.A. </t>
  </si>
  <si>
    <t xml:space="preserve">GSTIN    -    06AXXXXXXXXN1Z9
Invoice Number Invoice Date IGST Paid(INR)
XXXXXXXX-18  2017-08-21  43227 </t>
  </si>
  <si>
    <t xml:space="preserve">AWB No. Gateway Port Gateway EGM No. Gateway EGM Date Gateway Site ID Error Code
N.A.  INNSA1  134462  2017-09-04 00:00:00.0  INNSA1  S </t>
  </si>
  <si>
    <t xml:space="preserve">IEC CHA No. Job No. Job Date Port of Discharge Total Package Gross Weight (Kg) FOB(INR) Total Cess (INR) Drawback STR Total (DBK+STR) CIN NO. CIN DT. Reward Flag
0288012101  AHRPD2201LCH001  5509928  21 AUG 2017 12:08  AEJEA  140  1890  1580843.92  0  41102  0  41102  N.A.  N.A.  Click here to view item wise reward details </t>
  </si>
  <si>
    <t xml:space="preserve">Current Que LEO Date EP Copy Print Status DBK Scroll No Scroll Date EGM Integration Status
HIST  25 AUG 2017 00:08  Y  21652/2017  14 SEP 2017 00:09  Y </t>
  </si>
  <si>
    <t xml:space="preserve">EGM No. EGM Date Container No. Seal No. Error Message
R317382808  2017-8-28 0.0.0.0  HJMU2911781  400157  N.A. </t>
  </si>
  <si>
    <t xml:space="preserve">GSTIN    -    06AXXXXXXXXQ1ZQ
Invoice Number Invoice Date IGST Paid(INR)
XXXXXXXXXXXX003  2017-08-18  285450 </t>
  </si>
  <si>
    <t xml:space="preserve">AWB No. Gateway Port Gateway EGM No. Gateway EGM Date Gateway Site ID Error Code
N.A.  INMUN1  134134  2017-08-29 00:00:00.0  INMUN1  S </t>
  </si>
  <si>
    <t xml:space="preserve">IEC CHA No. Job No. Job Date Port of Discharge Total Package Gross Weight (Kg) FOB(INR) Total Cess (INR) Drawback STR Total (DBK+STR) CIN NO. CIN DT. Reward Flag
0288012101  AHRPD2201LCH001  5509926  21 AUG 2017 12:08  AEJEA  122  1544.6  768734.68  0  10959  0  10959  N.A.  N.A.  Click here to view item wise reward details </t>
  </si>
  <si>
    <t xml:space="preserve">GSTIN    -    06AXXXXXXXXQ1ZQ
Invoice Number Invoice Date IGST Paid(INR)
XXXXXXXXXXXX004  2017-08-18  139269 </t>
  </si>
  <si>
    <t>2017/08/22</t>
  </si>
  <si>
    <t xml:space="preserve">IEC CHA No. Job No. Job Date Port of Discharge Total Package Gross Weight (Kg) FOB(INR) Total Cess (INR) Drawback STR Total (DBK+STR) CIN NO. CIN DT. Reward Flag
0595012647  AAACC6689ECH001  5524445  22 AUG 2017 12:08  PKKHI  777  9526  3095252.8  0  46429  0  46429  N.A.  N.A.  Click here to view item wise reward details </t>
  </si>
  <si>
    <t xml:space="preserve">Current Que LEO Date EP Copy Print Status DBK Scroll No Scroll Date EGM Integration Status
HIST  01 SEP 2017 00:09  Y  21843/2017  21 SEP 2017 00:09  Y </t>
  </si>
  <si>
    <t xml:space="preserve">EGM No. EGM Date Container No. Seal No. Error Message
J187200809  2017-9-8 0.0.0.0  BMOU6028286  401251  N.A. </t>
  </si>
  <si>
    <t xml:space="preserve">GSTIN    -    07AXXXXXXXXB1ZR
Invoice Number Invoice Date IGST Paid(INR)
XXXXXXXXX-18  2017-08-12  371424 </t>
  </si>
  <si>
    <t xml:space="preserve">AWB No. Gateway Port Gateway EGM No. Gateway EGM Date Gateway Site ID Error Code
N.A.  INMUN1  134209  2017-08-30 00:00:00.0  INMUN1  S </t>
  </si>
  <si>
    <t xml:space="preserve">IEC CHA No. Job No. Job Date Port of Discharge Total Package Gross Weight (Kg) FOB(INR) Total Cess (INR) Drawback STR Total (DBK+STR) CIN NO. CIN DT. Reward Flag
0595012647  AAACC6689ECH001  5525781  22 AUG 2017 12:08  PKKHI  243  2346  1269897.18  0  19048  0  19048  N.A.  N.A.  Click here to view item wise reward details </t>
  </si>
  <si>
    <t xml:space="preserve">GSTIN    -    07AXXXXXXXXB1ZR
Invoice Number Invoice Date IGST Paid(INR)
XXXXXXXXX-18  2017-08-19  152387 </t>
  </si>
  <si>
    <t xml:space="preserve">IEC CHA No. Job No. Job Date Port of Discharge Total Package Gross Weight (Kg) FOB(INR) Total Cess (INR) Drawback STR Total (DBK+STR) CIN NO. CIN DT. Reward Flag
0591028549  AAECB3928MCH001  5535182  22 AUG 2017 12:08  USHOU  1  271.647  252848.25  0  0  0  0  N.A.  N.A.  Click here to view item wise reward details </t>
  </si>
  <si>
    <t xml:space="preserve">Current Que LEO Date EP Copy Print Status DBK Scroll No Scroll Date EGM Integration Status
HIST  25 AUG 2017 00:08  Y  N.A.  N.A.  Y </t>
  </si>
  <si>
    <t xml:space="preserve">EGM No. EGM Date Container No. Seal No. Error Message
T707121409  2017-9-14 0.0.0.0  PONU1385155  401038  N.A. </t>
  </si>
  <si>
    <t xml:space="preserve">GSTIN    -    06AXXXXXXXXJ2ZR
Invoice Number Invoice Date IGST Paid(INR)
XXXXX-18  2017-08-21  45511 </t>
  </si>
  <si>
    <t xml:space="preserve">AWB No. Gateway Port Gateway EGM No. Gateway EGM Date Gateway Site ID Error Code
N.A.  INNSA1  133453  2017-08-17 00:00:00.0  INNSA1  S </t>
  </si>
  <si>
    <t xml:space="preserve">IEC CHA No. Job No. Job Date Port of Discharge Total Package Gross Weight (Kg) FOB(INR) Total Cess (INR) Drawback STR Total (DBK+STR) CIN NO. CIN DT. Reward Flag
3104003254  AAACA3307KCH003  5536680  22 AUG 2017 12:08  ARBUE  1  15  90073.62  0  2262  0  2262  N.A.  N.A.  Click here to view item wise reward details </t>
  </si>
  <si>
    <t xml:space="preserve">Current Que LEO Date EP Copy Print Status DBK Scroll No Scroll Date EGM Integration Status
HIST  04 SEP 2017 00:09  Y  21843/2017  21 SEP 2017 00:09  Y </t>
  </si>
  <si>
    <t xml:space="preserve">EGM No. EGM Date Container No. Seal No. Error Message
J207160709  2017-9-7 0.0.0.0  TCNU3029050  401092  N.A. </t>
  </si>
  <si>
    <t xml:space="preserve">GSTIN    -    27AXXXXXXXXR1ZF
Invoice Number Invoice Date IGST Paid(INR)
XXXXXXXXXXXX-18  2017-08-07  19042 </t>
  </si>
  <si>
    <t xml:space="preserve">IEC CHA No. Job No. Job Date Port of Discharge Total Package Gross Weight (Kg) FOB(INR) Total Cess (INR) Drawback STR Total (DBK+STR) CIN NO. CIN DT. Reward Flag
0504038966  AARPK1504ACH001  5540056  22 AUG 2017 12:08  DEHAM  2  660  193947.86  0  3879  0  3879  N.A.  N.A.  Click here to view item wise reward details </t>
  </si>
  <si>
    <t xml:space="preserve">EGM No. EGM Date Container No. Seal No. Error Message
T677920109  2017-9-1 0.0.0.0  CMAU0445325  400284  N.A. </t>
  </si>
  <si>
    <t xml:space="preserve">GSTIN    -    06AXXXXXXXXD1ZM
Invoice Number Invoice Date IGST Paid(INR)
XXX-02  2017-08-22  54305 </t>
  </si>
  <si>
    <t xml:space="preserve">AWB No. Gateway Port Gateway EGM No. Gateway EGM Date Gateway Site ID Error Code
N.A.  INMUN1  134487  2017-09-04 00:00:00.0  INMUN1  S </t>
  </si>
  <si>
    <t>2017/08/23</t>
  </si>
  <si>
    <t xml:space="preserve">IEC CHA No. Job No. Job Date Port of Discharge Total Package Gross Weight (Kg) FOB(INR) Total Cess (INR) Drawback STR Total (DBK+STR) CIN NO. CIN DT. Reward Flag
0505023954  AACFL6638BCH001  5547103  23 AUG 2017 12:08  BEANR  3  150  891549.91  0  0  0  0  N.A.  N.A.  Click here to view item wise reward details </t>
  </si>
  <si>
    <t xml:space="preserve">EGM No. EGM Date Container No. Seal No. Error Message
R267422908  2017-8-29 0.0.0.0  WHLU5156390  400214  N.A. </t>
  </si>
  <si>
    <t xml:space="preserve">GSTIN    -    06AXXXXXXXXJ1ZG
Invoice Number Invoice Date IGST Paid(INR)
XXXXXXXXXX177  2017-08-22  190911 </t>
  </si>
  <si>
    <t xml:space="preserve">IEC CHA No. Job No. Job Date Port of Discharge Total Package Gross Weight (Kg) FOB(INR) Total Cess (INR) Drawback STR Total (DBK+STR) CIN NO. CIN DT. Reward Flag
0505000873  AOWPS6493KCH001  5558202  23 AUG 2017 12:08  MYPKG  4  3410  809907.53  0  16198  0  16198  N.A.  N.A.  Click here to view item wise reward details </t>
  </si>
  <si>
    <t xml:space="preserve">Current Que LEO Date EP Copy Print Status DBK Scroll No Scroll Date EGM Integration Status
HIST  26 AUG 2017 00:08  Y  21843/2017  21 SEP 2017 00:09  Y </t>
  </si>
  <si>
    <t xml:space="preserve">EGM No. EGM Date Container No. Seal No. Error Message
R507320309  2017-9-3 0.0.0.0  YMLU3007152  401008  N.A. </t>
  </si>
  <si>
    <t xml:space="preserve">GSTIN    -    07AXXXXXXXXB1ZS
Invoice Number Invoice Date IGST Paid(INR)
XXXXXXX017  2017-08-10  81770 </t>
  </si>
  <si>
    <t>2017/08/24</t>
  </si>
  <si>
    <t xml:space="preserve">IEC CHA No. Job No. Job Date Port of Discharge Total Package Gross Weight (Kg) FOB(INR) Total Cess (INR) Drawback STR Total (DBK+STR) CIN NO. CIN DT. Reward Flag
0507042034  AALFA6988NCH001  5569861  24 AUG 2017 12:08  ILASH  633  17406.6  2535422.66  0  38031  0  38031  N.A.  N.A.  Click here to view item wise reward details </t>
  </si>
  <si>
    <t xml:space="preserve">EGM No. EGM Date Container No. Seal No. Error Message
J247502908  2017-8-29 0.0.0.0  CRSU1065595  400161  N.A. </t>
  </si>
  <si>
    <t xml:space="preserve">GSTIN    -    06AXXXXXXXXC1ZF
Invoice Number Invoice Date IGST Paid(INR)
960  2017-08-22  471225 </t>
  </si>
  <si>
    <t xml:space="preserve">AWB No. Gateway Port Gateway EGM No. Gateway EGM Date Gateway Site ID Error Code
N.A.  INMUN1  133789  2017-08-23 00:00:00.0  INMUN1  S </t>
  </si>
  <si>
    <t xml:space="preserve">IEC CHA No. Job No. Job Date Port of Discharge Total Package Gross Weight (Kg) FOB(INR) Total Cess (INR) Drawback STR Total (DBK+STR) CIN NO. CIN DT. Reward Flag
0510085423  AHDPK8975CCH001  5572365  24 AUG 2017 12:08  LVRIX  16  148.8  36214.09  0  3220  0  3220  N.A.  N.A.  Click here to view item wise reward details </t>
  </si>
  <si>
    <t xml:space="preserve">EGM No. EGM Date Container No. Seal No. Error Message
T987883108  2017-8-31 0.0.0.0  FSCU9016795  400271  N.A. </t>
  </si>
  <si>
    <t xml:space="preserve">GSTIN    -    07AXXXXXXXXK1ZW
Invoice Number Invoice Date IGST Paid(INR)
XXXXXXXXXXXX-36  2017-08-21  4344 </t>
  </si>
  <si>
    <t xml:space="preserve">IEC CHA No. Job No. Job Date Port of Discharge Total Package Gross Weight (Kg) FOB(INR) Total Cess (INR) Drawback STR Total (DBK+STR) CIN NO. CIN DT. Reward Flag
AAKFN5762C  AADCA0273BCH001  5585306  24 AUG 2017 12:08  NZAKL  3  87  35214.75  0  0  0  0  N.A.  N.A.  Click here to view item wise reward details </t>
  </si>
  <si>
    <t xml:space="preserve">Current Que LEO Date EP Copy Print Status DBK Scroll No Scroll Date EGM Integration Status
HIST  29 AUG 2017 00:08  Y  N.A.  N.A.  Y </t>
  </si>
  <si>
    <t xml:space="preserve">EGM No. EGM Date Container No. Seal No. Error Message
R87120209  2017-9-2 0.0.0.0  TCNU9495631  401027  N.A. </t>
  </si>
  <si>
    <t xml:space="preserve">GSTIN    -    07AXXXXXXXXC1Z8
Invoice Number Invoice Date IGST Paid(INR)
XXI65  2017-08-03  3897 </t>
  </si>
  <si>
    <t xml:space="preserve">AWB No. Gateway Port Gateway EGM No. Gateway EGM Date Gateway Site ID Error Code
N.A.  INNSA1  134167  2017-08-29 00:00:00.0  INNSA1  S </t>
  </si>
  <si>
    <t xml:space="preserve">IEC CHA No. Job No. Job Date Port of Discharge Total Package Gross Weight (Kg) FOB(INR) Total Cess (INR) Drawback STR Total (DBK+STR) CIN NO. CIN DT. Reward Flag
0591046270  ADWPT4152FCH001  5585990  24 AUG 2017 12:08  NGAPP  541  40313  7116296.93  0  111917  0  111917  N.A.  N.A.  Click here to view item wise reward details </t>
  </si>
  <si>
    <t xml:space="preserve">EGM No. EGM Date Container No. Seal No. Error Message
R967440909  2017-9-9 0.0.0.0  TRHU2939342  401884  N.A. </t>
  </si>
  <si>
    <t xml:space="preserve">GSTIN    -    07AXXXXXXXXP1ZU
Invoice Number Invoice Date IGST Paid(INR)
XXXXXXXXXXX-18  2017-08-23  1499760 </t>
  </si>
  <si>
    <t xml:space="preserve">AWB No. Gateway Port Gateway EGM No. Gateway EGM Date Gateway Site ID Error Code
N.A.  INMUN1  135378  2017-09-19 00:00:00.0  INMUN1  S </t>
  </si>
  <si>
    <t xml:space="preserve">IEC CHA No. Job No. Job Date Port of Discharge Total Package Gross Weight (Kg) FOB(INR) Total Cess (INR) Drawback STR Total (DBK+STR) CIN NO. CIN DT. Reward Flag
0508074321  AAGCS0053ECH003  5590629  24 AUG 2017 12:08  KEMBA  714  23222  1050935.04  0  35668  0  35668  N.A.  N.A.  Click here to view item wise reward details </t>
  </si>
  <si>
    <t xml:space="preserve">Current Que LEO Date EP Copy Print Status DBK Scroll No Scroll Date EGM Integration Status
HIST  28 AUG 2017 00:08  Y  21652/2017  14 SEP 2017 00:09  Y </t>
  </si>
  <si>
    <t xml:space="preserve">EGM No. EGM Date Container No. Seal No. Error Message
T657743008  2017-8-30 0.0.0.0  NYKU3374976  400579  N.A. </t>
  </si>
  <si>
    <t xml:space="preserve">GSTIN    -    07AXXXXXXXXB1ZP
Invoice Number Invoice Date IGST Paid(INR)
XXXXXX/17  2017-01-08  251223 </t>
  </si>
  <si>
    <t xml:space="preserve">AWB No. Gateway Port Gateway EGM No. Gateway EGM Date Gateway Site ID Error Code
N.A.  INPAV1  134074  2017-08-28 00:00:00.0  INPAV1  S </t>
  </si>
  <si>
    <t xml:space="preserve">IEC CHA No. Job No. Job Date Port of Discharge Total Package Gross Weight (Kg) FOB(INR) Total Cess (INR) Drawback STR Total (DBK+STR) CIN NO. CIN DT. Reward Flag
0510059732  ANQPS8605JCH001  5592172  24 AUG 2017 12:08  IRBND  28  222  233800.56  0  0  0  0  N.A.  N.A.  Click here to view item wise reward details </t>
  </si>
  <si>
    <t xml:space="preserve">Current Que LEO Date EP Copy Print Status DBK Scroll No Scroll Date EGM Integration Status
HIST  26 AUG 2017 00:08  Y  N.A.  N.A.  Y </t>
  </si>
  <si>
    <t xml:space="preserve">EGM No. EGM Date Container No. Seal No. Error Message
R577683008  2017-8-30 0.0.0.0  BAXU2611948  400226  N.A. </t>
  </si>
  <si>
    <t xml:space="preserve">GSTIN    -    07AXXXXXXXXK1ZY
Invoice Number Invoice Date IGST Paid(INR)
XXXXXXXX018  2017-08-16  42581 </t>
  </si>
  <si>
    <t xml:space="preserve">AWB No. Gateway Port Gateway EGM No. Gateway EGM Date Gateway Site ID Error Code
N.A.  INMUN1  140358  2017-12-08 00:00:00.0  INMUN1  ST </t>
  </si>
  <si>
    <t xml:space="preserve">IEC CHA No. Job No. Job Date Port of Discharge Total Package Gross Weight (Kg) FOB(INR) Total Cess (INR) Drawback STR Total (DBK+STR) CIN NO. CIN DT. Reward Flag
0500075158  ADXPJ1610RCH001  5598583  24 AUG 2017 12:08  USBOS  13  138  352972.35  0  34354  0  34354  N.A.  N.A.  Click here to view item wise reward details </t>
  </si>
  <si>
    <t xml:space="preserve">Current Que LEO Date EP Copy Print Status DBK Scroll No Scroll Date EGM Integration Status
HIST  26 AUG 2017 00:08  Y  24432/2018  25 MAR 2018 00:03  Y </t>
  </si>
  <si>
    <t xml:space="preserve">EGM No. EGM Date Container No. Seal No. Error Message
J207823108  2017-8-31 0.0.0.0  OOCU6867324  400241  N.A. </t>
  </si>
  <si>
    <t xml:space="preserve">ROSL Availed Amount(INR) Scroll Number Scroll Date
Y  9464  25934/2018  2018-3-20 0.0.0.0 </t>
  </si>
  <si>
    <t xml:space="preserve">GSTIN    -    07AXXXXXXXXP3ZI
Invoice Number Invoice Date IGST Paid(INR)
XXXXXXXXXXXXXX-18  2017-07-25  17522 </t>
  </si>
  <si>
    <t xml:space="preserve">AWB No. Gateway Port Gateway EGM No. Gateway EGM Date Gateway Site ID Error Code
N.A.  INMUN1  134796  2017-09-08 00:00:00.0  INMUN1  S </t>
  </si>
  <si>
    <t>2017/08/25</t>
  </si>
  <si>
    <t xml:space="preserve">IEC CHA No. Job No. Job Date Port of Discharge Total Package Gross Weight (Kg) FOB(INR) Total Cess (INR) Drawback STR Total (DBK+STR) CIN NO. CIN DT. Reward Flag
0507001061  AAECB3928MCH001  5605058  25 AUG 2017 12:08  DKAAR  3  1170  370500  0  5250  0  5250  N.A.  N.A.  Click here to view item wise reward details </t>
  </si>
  <si>
    <t xml:space="preserve">Current Que LEO Date EP Copy Print Status DBK Scroll No Scroll Date EGM Integration Status
HIST  29 AUG 2017 00:08  Y  21843/2017  21 SEP 2017 00:09  Y </t>
  </si>
  <si>
    <t xml:space="preserve">EGM No. EGM Date Container No. Seal No. Error Message
R1477100209  2017-9-2 0.0.0.0  SUDU1912157  401025  N.A. </t>
  </si>
  <si>
    <t xml:space="preserve">GSTIN    -    09AXXXXXXXXC1ZH
Invoice Number Invoice Date IGST Paid(INR)
047  2017-08-21  75492 </t>
  </si>
  <si>
    <t xml:space="preserve">IEC CHA No. Job No. Job Date Port of Discharge Total Package Gross Weight (Kg) FOB(INR) Total Cess (INR) Drawback STR Total (DBK+STR) CIN NO. CIN DT. Reward Flag
0510064663  ADMPC7074KCH001  5606562  25 AUG 2017 12:08  ZAJNB  450  8262.5  3118443.14  0  279716  0  279716  N.A.  N.A.  Click here to view item wise reward details </t>
  </si>
  <si>
    <t xml:space="preserve">EGM No. EGM Date Container No. Seal No. Error Message
R487220809  2017-9-8 0.0.0.0  TCLU5962520  401218  N.A. </t>
  </si>
  <si>
    <t xml:space="preserve">ROSL Availed Amount(INR) Scroll Number Scroll Date
Y  73774  25637/2017  2017-9-20 0.0.0.0 </t>
  </si>
  <si>
    <t xml:space="preserve">GSTIN    -    07AXXXXXXXXL1ZD
Invoice Number Invoice Date IGST Paid(INR)
XXXXXXXXX017  2017-06-28  240204 </t>
  </si>
  <si>
    <t xml:space="preserve">AWB No. Gateway Port Gateway EGM No. Gateway EGM Date Gateway Site ID Error Code
N.A.  INMUN1  134795  2017-09-08 00:00:00.0  INMUN1  S </t>
  </si>
  <si>
    <t xml:space="preserve">IEC CHA No. Job No. Job Date Port of Discharge Total Package Gross Weight (Kg) FOB(INR) Total Cess (INR) Drawback STR Total (DBK+STR) CIN NO. CIN DT. Reward Flag
AAHCC0755A  BTLPP6279BCH001  5610323  25 AUG 2017 12:08  AEJEA  78  2106  6859452.6  0  672226  0  672226  N.A.  N.A.  Click here to view item wise reward details </t>
  </si>
  <si>
    <t xml:space="preserve">EGM No. EGM Date Container No. Seal No. Error Message
T777562908  2017-8-29 0.0.0.0  MSKU8840543  400310  N.A. </t>
  </si>
  <si>
    <t xml:space="preserve">ROSL Availed Amount(INR) Scroll Number Scroll Date
Y  205784  25635/2017  2017-9-15 0.0.0.0 </t>
  </si>
  <si>
    <t xml:space="preserve">GSTIN    -    07AXXXXXXXXA1Z5
Invoice Number Invoice Date IGST Paid(INR)
XXXXXXXXXXXXX018  2017-08-22  342972 </t>
  </si>
  <si>
    <t xml:space="preserve">AWB No. Gateway Port Gateway EGM No. Gateway EGM Date Gateway Site ID Error Code
N.A.  INPAV1  132218  2017-07-26 00:00:00.0  INPAV1  S </t>
  </si>
  <si>
    <t xml:space="preserve">IEC CHA No. Job No. Job Date Port of Discharge Total Package Gross Weight (Kg) FOB(INR) Total Cess (INR) Drawback STR Total (DBK+STR) CIN NO. CIN DT. Reward Flag
AAHCC0755A  BTLPP6279BCH001  5610310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</si>
  <si>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5610328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</si>
  <si>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5613414  25 AUG 2017 12:08  AEJEA  115  2300  6694038.45  0  656016  0  656016  N.A.  N.A.  Click here to view item wise reward details </t>
  </si>
  <si>
    <t xml:space="preserve">EGM No. EGM Date Container No. Seal No. Error Message
R477723008  2017-8-30 0.0.0.0  MRKU2773364  400587  N.A. </t>
  </si>
  <si>
    <t xml:space="preserve">ROSL Availed Amount(INR) Scroll Number Scroll Date
Y  200821  25635/2017  2017-9-15 0.0.0.0 </t>
  </si>
  <si>
    <t xml:space="preserve">GSTIN    -    07AXXXXXXXXA1Z5
Invoice Number Invoice Date IGST Paid(INR)
XXXXXXXXXXXXX018  2017-08-23  334701 </t>
  </si>
  <si>
    <t xml:space="preserve">IEC CHA No. Job No. Job Date Port of Discharge Total Package Gross Weight (Kg) FOB(INR) Total Cess (INR) Drawback STR Total (DBK+STR) CIN NO. CIN DT. Reward Flag
AAHCC0755A  BTLPP6279BCH001  5613413  25 AUG 2017 12:08  AEJEA  115  2300  6694038.45  0  656016  0  656016  N.A.  N.A.  Click here to view item wise reward details </t>
  </si>
  <si>
    <t xml:space="preserve">IEC CHA No. Job No. Job Date Port of Discharge Total Package Gross Weight (Kg) FOB(INR) Total Cess (INR) Drawback STR Total (DBK+STR) CIN NO. CIN DT. Reward Flag
AAHCC0755A  BTLPP6279BCH001  5613421  25 AUG 2017 12:08  AEJEA  54  2268  6242185.62  0  611735  0  611735  N.A.  N.A.  Click here to view item wise reward details </t>
  </si>
  <si>
    <t xml:space="preserve">ROSL Availed Amount(INR) Scroll Number Scroll Date
Y  187266  25635/2017  2017-9-15 0.0.0.0 </t>
  </si>
  <si>
    <t xml:space="preserve">GSTIN    -    07AXXXXXXXXA1Z5
Invoice Number Invoice Date IGST Paid(INR)
XXXXXXXXXXXXX018  2017-08-23  312107 </t>
  </si>
  <si>
    <t>2017/08/26</t>
  </si>
  <si>
    <t xml:space="preserve">IEC CHA No. Job No. Job Date Port of Discharge Total Package Gross Weight (Kg) FOB(INR) Total Cess (INR) Drawback STR Total (DBK+STR) CIN NO. CIN DT. Reward Flag
0512081786  AAACT0334RCH001  5619782  26 AUG 2017 12:08  AEJEA  720  7632  692239.5  0  48457  0  48457  N.A.  N.A.  Click here to view item wise reward details </t>
  </si>
  <si>
    <t xml:space="preserve">EGM No. EGM Date Container No. Seal No. Error Message
T657743008  2017-8-30 0.0.0.0  MRKU5421562  400543  N.A. </t>
  </si>
  <si>
    <t xml:space="preserve">GSTIN    -    07AXXXXXXXXC1ZP
Invoice Number Invoice Date IGST Paid(INR)
XXXXXXXXXXXXXX003  2017-08-24  130572 </t>
  </si>
  <si>
    <t xml:space="preserve">AWB No. Gateway Port Gateway EGM No. Gateway EGM Date Gateway Site ID Error Code
N.A.  INPAV1  134066  2017-08-28 00:00:00.0  INPAV1  S </t>
  </si>
  <si>
    <t xml:space="preserve">IEC CHA No. Job No. Job Date Port of Discharge Total Package Gross Weight (Kg) FOB(INR) Total Cess (INR) Drawback STR Total (DBK+STR) CIN NO. CIN DT. Reward Flag
0510056601  AAIPJ7016KCH001  5621469  26 AUG 2017 12:08  THLCH  1  880  624982.5  0  3320  0  3320  N.A.  N.A.  Click here to view item wise reward details </t>
  </si>
  <si>
    <t xml:space="preserve">Current Que LEO Date EP Copy Print Status DBK Scroll No Scroll Date EGM Integration Status
HIST  30 AUG 2017 00:08  Y  21843/2017  21 SEP 2017 00:09  Y </t>
  </si>
  <si>
    <t xml:space="preserve">EGM No. EGM Date Container No. Seal No. Error Message
J277920609  2017-9-6 0.0.0.0  GVCU2190150  404072  N.A. </t>
  </si>
  <si>
    <t xml:space="preserve">GSTIN    -    08AXXXXXXXXR1Z1
Invoice Number Invoice Date IGST Paid(INR)
XXXXXXXXXXXXXX010  2017-08-25  112496 </t>
  </si>
  <si>
    <t xml:space="preserve">IEC CHA No. Job No. Job Date Port of Discharge Total Package Gross Weight (Kg) FOB(INR) Total Cess (INR) Drawback STR Total (DBK+STR) CIN NO. CIN DT. Reward Flag
0592023052  AASPK9028QCH001  5636518  26 AUG 2017 12:08  THLCH  14  7652  809303.48  0  16186  0  16186  N.A.  N.A.  Click here to view item wise reward details </t>
  </si>
  <si>
    <t xml:space="preserve">EGM No. EGM Date Container No. Seal No. Error Message
R87120209  2017-9-2 0.0.0.0  TRHU1951343  401012  N.A. </t>
  </si>
  <si>
    <t xml:space="preserve">GSTIN    -    06AXXXXXXXXE1ZX
Invoice Number Invoice Date IGST Paid(INR)
XXXXXXXXXXXXXX-18  2017-08-25  226605 </t>
  </si>
  <si>
    <t>2017/08/28</t>
  </si>
  <si>
    <t xml:space="preserve">IEC CHA No. Job No. Job Date Port of Discharge Total Package Gross Weight (Kg) FOB(INR) Total Cess (INR) Drawback STR Total (DBK+STR) CIN NO. CIN DT. Reward Flag
0515069272  BTLPP6279BCH001  5663714  28 AUG 2017 12:08  AEJEA  75  1575  5756184  0  564106  0  564106  N.A.  N.A.  Click here to view item wise reward details </t>
  </si>
  <si>
    <t xml:space="preserve">EGM No. EGM Date Container No. Seal No. Error Message
R547020109  2017-9-1 0.0.0.0  MRKU3880984  400965  N.A. </t>
  </si>
  <si>
    <t xml:space="preserve">ROSL Availed Amount(INR) Scroll Number Scroll Date
Y  172686  25635/2017  2017-9-15 0.0.0.0 </t>
  </si>
  <si>
    <t xml:space="preserve">GSTIN    -    07AXXXXXXXXA1Z9
Invoice Number Invoice Date IGST Paid(INR)
XXXXXXXXXXXXX-18  2017-08-28  287808 </t>
  </si>
  <si>
    <t xml:space="preserve">IEC CHA No. Job No. Job Date Port of Discharge Total Package Gross Weight (Kg) FOB(INR) Total Cess (INR) Drawback STR Total (DBK+STR) CIN NO. CIN DT. Reward Flag
0517513668  BTLPP6279BCH001  5666170  28 AUG 2017 12:08  AEJEA  90  1890  6907420.8  0  676928  0  676928  N.A.  N.A.  Click here to view item wise reward details </t>
  </si>
  <si>
    <t xml:space="preserve">EGM No. EGM Date Container No. Seal No. Error Message
R547020109  2017-9-1 0.0.0.0  MSKU9114648  400966  N.A. </t>
  </si>
  <si>
    <t xml:space="preserve">ROSL Availed Amount(INR) Scroll Number Scroll Date
Y  207223  25635/2017  2017-9-15 0.0.0.0 </t>
  </si>
  <si>
    <t xml:space="preserve">GSTIN    -    07AXXXXXXXXG1Z3
Invoice Number Invoice Date IGST Paid(INR)
XXXXXXXXXXXXX018  2017-08-28  345370 </t>
  </si>
  <si>
    <t xml:space="preserve">IEC CHA No. Job No. Job Date Port of Discharge Total Package Gross Weight (Kg) FOB(INR) Total Cess (INR) Drawback STR Total (DBK+STR) CIN NO. CIN DT. Reward Flag
0517513668  BTLPP6279BCH001  5666158  28 AUG 2017 12:08  AEJEA  90  1890  6907420.8  0  676928  0  676928  N.A.  N.A.  Click here to view item wise reward details </t>
  </si>
  <si>
    <t>2017/08/29</t>
  </si>
  <si>
    <t xml:space="preserve">IEC CHA No. Job No. Job Date Port of Discharge Total Package Gross Weight (Kg) FOB(INR) Total Cess (INR) Drawback STR Total (DBK+STR) CIN NO. CIN DT. Reward Flag
0505088681  AAJPM0767BCH001  5680836  29 AUG 2017 12:08  AEJEA  21  19494.6  6704608.94  0  70954  0  70954  N.A.  N.A.  Click here to view item wise reward details </t>
  </si>
  <si>
    <t xml:space="preserve">EGM No. EGM Date Container No. Seal No. Error Message
J477680509  2017-9-5 0.0.0.0  CRXU3303349  401228  N.A. </t>
  </si>
  <si>
    <t xml:space="preserve">GSTIN    -    09AXXXXXXXXG1Z5
Invoice Number Invoice Date IGST Paid(INR)
XXXXX931  2017-08-26  1880086 </t>
  </si>
  <si>
    <t xml:space="preserve">AWB No. Gateway Port Gateway EGM No. Gateway EGM Date Gateway Site ID Error Code
N.A.  INMUN1  134406  2017-09-01 00:00:00.0  INMUN1  S </t>
  </si>
  <si>
    <t xml:space="preserve">IEC CHA No. Job No. Job Date Port of Discharge Total Package Gross Weight (Kg) FOB(INR) Total Cess (INR) Drawback STR Total (DBK+STR) CIN NO. CIN DT. Reward Flag
0507062884  AYZPP5973GCH001  5681602  29 AUG 2017 12:08  BRSSZ  51  2986  1702937  0  34059  0  34059  N.A.  N.A.  Click here to view item wise reward details </t>
  </si>
  <si>
    <t xml:space="preserve">EGM No. EGM Date Container No. Seal No. Error Message
J477680509  2017-9-5 0.0.0.0  TRIU9841182  003229  N.A. </t>
  </si>
  <si>
    <t xml:space="preserve">GSTIN    -    09AXXXXXXXXJ1Z6
Invoice Number Invoice Date IGST Paid(INR)
XXXXXXXXXXX018  2017-08-26  306522 </t>
  </si>
  <si>
    <t xml:space="preserve">AWB No. Gateway Port Gateway EGM No. Gateway EGM Date Gateway Site ID Error Code
N.A.  INMUN1  134923  2017-09-12 00:00:00.0  INMUN1  S </t>
  </si>
  <si>
    <t>2017/08/30</t>
  </si>
  <si>
    <t xml:space="preserve">IEC CHA No. Job No. Job Date Port of Discharge Total Package Gross Weight (Kg) FOB(INR) Total Cess (INR) Drawback STR Total (DBK+STR) CIN NO. CIN DT. Reward Flag
0509003061  AAECB3928MCH001  5701029  30 AUG 2017 12:08  USCVG  4  640  337277.35  0  6746  0  6746  N.A.  N.A.  Click here to view item wise reward details </t>
  </si>
  <si>
    <t xml:space="preserve">EGM No. EGM Date Container No. Seal No. Error Message
R487220809  2017-9-8 0.0.0.0  OOLU9558367  401081  N.A. </t>
  </si>
  <si>
    <t xml:space="preserve">GSTIN    -    06AXXXXXXXXK1ZV
Invoice Number Invoice Date IGST Paid(INR)
XXXXXXXXXX070  2017-08-23  40091 
XXXXXXXXXX071  2017-08-23  54341 </t>
  </si>
  <si>
    <t xml:space="preserve">AWB No. Gateway Port Gateway EGM No. Gateway EGM Date Gateway Site ID Error Code
N.A.  INMUN1  132131  2017-07-25 00:00:00.0  INMUN1  S </t>
  </si>
  <si>
    <t xml:space="preserve">IEC CHA No. Job No. Job Date Port of Discharge Total Package Gross Weight (Kg) FOB(INR) Total Cess (INR) Drawback STR Total (DBK+STR) CIN NO. CIN DT. Reward Flag
2416910671  FHMPS1058ECH001  5701162  30 AUG 2017 12:08  USLUA  1  88.3  94223.25  0  0  0  0  N.A.  N.A.  Click here to view item wise reward details </t>
  </si>
  <si>
    <t xml:space="preserve">Current Que LEO Date EP Copy Print Status DBK Scroll No Scroll Date EGM Integration Status
HIST  01 SEP 2017 00:09  Y  N.A.  N.A.  Y </t>
  </si>
  <si>
    <t xml:space="preserve">EGM No. EGM Date Container No. Seal No. Error Message
J207160709  2017-9-7 0.0.0.0  NYKU5457534  401087  N.A. </t>
  </si>
  <si>
    <t xml:space="preserve">GSTIN    -    24AXXXXXXXXA1ZY
Invoice Number Invoice Date IGST Paid(INR)
23  2017-08-28  17510 </t>
  </si>
  <si>
    <t xml:space="preserve">AWB No. Gateway Port Gateway EGM No. Gateway EGM Date Gateway Site ID Error Code
N.A.  INNSA1  133327  2017-08-16 00:00:00.0  INNSA1  S </t>
  </si>
  <si>
    <t xml:space="preserve">IEC CHA No. Job No. Job Date Port of Discharge Total Package Gross Weight (Kg) FOB(INR) Total Cess (INR) Drawback STR Total (DBK+STR) CIN NO. CIN DT. Reward Flag
0595021255  AALCS5528DCH001  5703293  30 AUG 2017 12:08  MXZLO  6  3680  719776.8  0  14396  0  14396  N.A.  N.A.  Click here to view item wise reward details </t>
  </si>
  <si>
    <t xml:space="preserve">Current Que LEO Date EP Copy Print Status DBK Scroll No Scroll Date EGM Integration Status
HIST  01 SEP 2017 00:09  Y  24432/2018  25 MAR 2018 00:03  Y </t>
  </si>
  <si>
    <t xml:space="preserve">EGM No. EGM Date Container No. Seal No. Error Message
R1477641709  2017-9-17 0.0.0.0  TTNU9450840  402656  N.A. </t>
  </si>
  <si>
    <t xml:space="preserve">GSTIN    -    06AXXXXXXXXH1ZU
Invoice Number Invoice Date IGST Paid(INR)
XXXXXXXXXX-18  2017-08-29  129559 </t>
  </si>
  <si>
    <t xml:space="preserve">AWB No. Gateway Port Gateway EGM No. Gateway EGM Date Gateway Site ID Error Code
N.A.  INNSA1  135507  2017-09-21 00:00:00.0  INNSA1  S </t>
  </si>
  <si>
    <t xml:space="preserve">IEC CHA No. Job No. Job Date Port of Discharge Total Package Gross Weight (Kg) FOB(INR) Total Cess (INR) Drawback STR Total (DBK+STR) CIN NO. CIN DT. Reward Flag
1308012381  AEOPA9390KCH001  5718032  30 AUG 2017 12:08  JPNGY  2  496.5  770850  0  15417  0  15417  N.A.  N.A.  Click here to view item wise reward details </t>
  </si>
  <si>
    <t xml:space="preserve">EGM No. EGM Date Container No. Seal No. Error Message
TX187901209  2017-9-12 0.0.0.0  BMOU2854715  402096  N.A. </t>
  </si>
  <si>
    <t xml:space="preserve">GSTIN    -    08AXXXXXXXXR1ZR
Invoice Number Invoice Date IGST Paid(INR)
XXXXXXXXXXXXX113  2017-08-28  390656 </t>
  </si>
  <si>
    <t xml:space="preserve">AWB No. Gateway Port Gateway EGM No. Gateway EGM Date Gateway Site ID Error Code
N.A.  INPAV1  134495  2017-09-04 00:00:00.0  INPAV1  S </t>
  </si>
  <si>
    <t xml:space="preserve">IEC CHA No. Job No. Job Date Port of Discharge Total Package Gross Weight (Kg) FOB(INR) Total Cess (INR) Drawback STR Total (DBK+STR) CIN NO. CIN DT. Reward Flag
0516954725  AAACC6689ECH001  5718150  30 AUG 2017 12:08  OMSOH  10  335  310905  0  0  0  0  N.A.  N.A.  Click here to view item wise reward details </t>
  </si>
  <si>
    <t xml:space="preserve">Current Que LEO Date EP Copy Print Status DBK Scroll No Scroll Date EGM Integration Status
HIST  05 SEP 2017 00:09  Y  N.A.  N.A.  Y </t>
  </si>
  <si>
    <t xml:space="preserve">EGM No. EGM Date Container No. Seal No. Error Message
R587480909  2017-9-9 0.0.0.0  CAIU8999547  402029  N.A. </t>
  </si>
  <si>
    <t xml:space="preserve">GSTIN    -    07AXXXXXXXXH1ZZ
Invoice Number Invoice Date IGST Paid(INR)
XXXXXXXX154  2017-08-11  12420 </t>
  </si>
  <si>
    <t xml:space="preserve">AWB No. Gateway Port Gateway EGM No. Gateway EGM Date Gateway Site ID Error Code
N.A.  INMUN1  134870  2017-09-11 00:00:00.0  INMUN1  S </t>
  </si>
  <si>
    <t xml:space="preserve">IEC CHA No. Job No. Job Date Port of Discharge Total Package Gross Weight (Kg) FOB(INR) Total Cess (INR) Drawback STR Total (DBK+STR) CIN NO. CIN DT. Reward Flag
0592023052  AACCP0287DCH001  5718172  30 AUG 2017 12:08  USNNY  22  8958.4  1942666.42  0  38853  0  38853  N.A.  N.A.  Click here to view item wise reward details </t>
  </si>
  <si>
    <t xml:space="preserve">Current Que LEO Date EP Copy Print Status DBK Scroll No Scroll Date EGM Integration Status
HIST  05 SEP 2017 00:09  Y  21843/2017  21 SEP 2017 00:09  Y </t>
  </si>
  <si>
    <t xml:space="preserve">EGM No. EGM Date Container No. Seal No. Error Message
R917840609  2017-9-6 0.0.0.0  MSKU3385339  031724  N.A. </t>
  </si>
  <si>
    <t xml:space="preserve">GSTIN    -    06AXXXXXXXXE4ZU
Invoice Number Invoice Date IGST Paid(INR)
XXXXXXXXXXXXXX-18  2017-08-26  543895 </t>
  </si>
  <si>
    <t xml:space="preserve">AWB No. Gateway Port Gateway EGM No. Gateway EGM Date Gateway Site ID Error Code
N.A.  INPAV1  134667  2017-09-07 00:00:00.0  INMAA1  MC </t>
  </si>
  <si>
    <t xml:space="preserve">IEC CHA No. Job No. Job Date Port of Discharge Total Package Gross Weight (Kg) FOB(INR) Total Cess (INR) Drawback STR Total (DBK+STR) CIN NO. CIN DT. Reward Flag
0507081668  AOFPS8466PCH001  5720175  30 AUG 2017 12:08  YEADE  5  84  670086.3  0  13245  0  13245  N.A.  N.A.  Click here to view item wise reward details </t>
  </si>
  <si>
    <t xml:space="preserve">Current Que LEO Date EP Copy Print Status DBK Scroll No Scroll Date EGM Integration Status
HIST  06 SEP 2017 00:09  Y  21843/2017  21 SEP 2017 00:09  Y </t>
  </si>
  <si>
    <t xml:space="preserve">EGM No. EGM Date Container No. Seal No. Error Message
T707360909  2017-9-9 0.0.0.0  CAXU9973575  402040  N.A. </t>
  </si>
  <si>
    <t xml:space="preserve">GSTIN    -    07AXXXXXXXXK1Z3
Invoice Number Invoice Date IGST Paid(INR)
XXXXXXX010  2017-08-30  122178 </t>
  </si>
  <si>
    <t xml:space="preserve">AWB No. Gateway Port Gateway EGM No. Gateway EGM Date Gateway Site ID Error Code
N.A.  INNSA1  137304  2017-10-23 00:00:00.0  INNSA1  S </t>
  </si>
  <si>
    <t>2017/08/31</t>
  </si>
  <si>
    <t xml:space="preserve">IEC CHA No. Job No. Job Date Port of Discharge Total Package Gross Weight (Kg) FOB(INR) Total Cess (INR) Drawback STR Total (DBK+STR) CIN NO. CIN DT. Reward Flag
0595012647  AAACC6689ECH001  5728705  31 AUG 2017 12:08  PKKHI  3464  46749  7708850.14  0  115633  0  115633  N.A.  N.A.  Click here to view item wise reward details </t>
  </si>
  <si>
    <t xml:space="preserve">Current Que LEO Date EP Copy Print Status DBK Scroll No Scroll Date EGM Integration Status
HIST  08 SEP 2017 00:09  Y  21843/2017  21 SEP 2017 00:09  Y </t>
  </si>
  <si>
    <t xml:space="preserve">EGM No. EGM Date Container No. Seal No. Error Message
R587480909  2017-9-9 0.0.0.0  BMOU6357717  001864  N.A. </t>
  </si>
  <si>
    <t xml:space="preserve">GSTIN    -    07AXXXXXXXXB1ZR
Invoice Number Invoice Date IGST Paid(INR)
XXXXXXXXX/18  2017-08-30  925056 </t>
  </si>
  <si>
    <t xml:space="preserve">IEC CHA No. Job No. Job Date Port of Discharge Total Package Gross Weight (Kg) FOB(INR) Total Cess (INR) Drawback STR Total (DBK+STR) CIN NO. CIN DT. Reward Flag
0500075158  ADXPJ1610RCH001  5741989  31 AUG 2017 12:08  USBOS  9  122  157324.28  0  12113  0  12113  N.A.  N.A.  Click here to view item wise reward details </t>
  </si>
  <si>
    <t xml:space="preserve">ROSL Availed Amount(INR) Scroll Number Scroll Date
Y  5034  25637/2017  2017-9-20 0.0.0.0 </t>
  </si>
  <si>
    <t xml:space="preserve">GSTIN    -    07AXXXXXXXXP3ZI
Invoice Number Invoice Date IGST Paid(INR)
XXXXXXXXXXXXXX-18  2017-08-10  7809 </t>
  </si>
  <si>
    <t xml:space="preserve">IEC CHA No. Job No. Job Date Port of Discharge Total Package Gross Weight (Kg) FOB(INR) Total Cess (INR) Drawback STR Total (DBK+STR) CIN NO. CIN DT. Reward Flag
0508073324  AAACG3100CCH001  5753042  31 AUG 2017 12:08  NLRTM  64  713.19  1076457.37  0  19714  0  19714  N.A.  N.A.  Click here to view item wise reward details </t>
  </si>
  <si>
    <t xml:space="preserve">EGM No. EGM Date Container No. Seal No. Error Message
R827781109  2017-9-11 0.0.0.0  GLDU5619874  402076  N.A. </t>
  </si>
  <si>
    <t xml:space="preserve">GSTIN    -    09AXXXXXXXXD2Z7
Invoice Number Invoice Date IGST Paid(INR)
XXXXXXXX-18  2017-08-08  2073 </t>
  </si>
  <si>
    <t xml:space="preserve">AWB No. Gateway Port Gateway EGM No. Gateway EGM Date Gateway Site ID Error Code
N.A.  INNSA1  134500  2017-09-04 00:00:00.0  INNSA1  STC </t>
  </si>
  <si>
    <t xml:space="preserve">IEC CHA No. Job No. Job Date Port of Discharge Total Package Gross Weight (Kg) FOB(INR) Total Cess (INR) Drawback STR Total (DBK+STR) CIN NO. CIN DT. Reward Flag
0506035182  AFYPK1878FCH001  5757084  31 AUG 2017 12:08  IRBND  536  6822.1  1774782.75  0  26622  0  26622  N.A.  N.A.  Click here to view item wise reward details </t>
  </si>
  <si>
    <t xml:space="preserve">Current Que LEO Date EP Copy Print Status DBK Scroll No Scroll Date EGM Integration Status
HIST  07 SEP 2017 00:09  Y  21843/2017  21 SEP 2017 00:09  Y </t>
  </si>
  <si>
    <t xml:space="preserve">EGM No. EGM Date Container No. Seal No. Error Message
R717581009  2017-9-10 0.0.0.0  TSAU2702857  402113  N.A. </t>
  </si>
  <si>
    <t xml:space="preserve">GSTIN    -    07AXXXXXXXXL1ZB
Invoice Number Invoice Date IGST Paid(INR)
XXXXXXXXXXX017  2017-08-28  213152 </t>
  </si>
  <si>
    <t>2017/09/01</t>
  </si>
  <si>
    <t xml:space="preserve">IEC CHA No. Job No. Job Date Port of Discharge Total Package Gross Weight (Kg) FOB(INR) Total Cess (INR) Drawback STR Total (DBK+STR) CIN NO. CIN DT. Reward Flag
0597069948  AAAFJ1721HCH058  5778787  01 SEP 2017 12:09  DKCPH  1  26.5  127452  0  0  0  0  N.A.  N.A.  Click here to view item wise reward details </t>
  </si>
  <si>
    <t xml:space="preserve">EGM No. EGM Date Container No. Seal No. Error Message
R1117461609  2017-9-16 0.0.0.0  HASU4843951  402672  N.A. </t>
  </si>
  <si>
    <t xml:space="preserve">GSTIN    -    07AXXXXXXXXD1ZG
Invoice Number Invoice Date IGST Paid(INR)
XXXXXXXXXX/18  2017-08-25  23374 </t>
  </si>
  <si>
    <t xml:space="preserve">AWB No. Gateway Port Gateway EGM No. Gateway EGM Date Gateway Site ID Error Code
N.A.  INMUN1  133179  2017-08-11 00:00:00.0  INMUN1  S </t>
  </si>
  <si>
    <t xml:space="preserve">IEC CHA No. Job No. Job Date Port of Discharge Total Package Gross Weight (Kg) FOB(INR) Total Cess (INR) Drawback STR Total (DBK+STR) CIN NO. CIN DT. Reward Flag
1308012381  AADCS9253MCH002  5779425  01 SEP 2017 12:09  DEHAM  131  11339  14020763.33  0  280415  0  280415  N.A.  N.A.  Click here to view item wise reward details </t>
  </si>
  <si>
    <t xml:space="preserve">EGM No. EGM Date Container No. Seal No. Error Message
T987040709  2017-9-7 0.0.0.0  TCLU5779294  014691  N.A. </t>
  </si>
  <si>
    <t xml:space="preserve">GSTIN    -    08AXXXXXXXXR1ZR
Invoice Number Invoice Date IGST Paid(INR)
XXXXXXXXXXXXXX115  2017-08-30  3925803 </t>
  </si>
  <si>
    <t xml:space="preserve">AWB No. Gateway Port Gateway EGM No. Gateway EGM Date Gateway Site ID Error Code
N.A.  INMUN1  137035  2017-10-16 00:00:00.0  INMUN1  S </t>
  </si>
  <si>
    <t xml:space="preserve">IEC CHA No. Job No. Job Date Port of Discharge Total Package Gross Weight (Kg) FOB(INR) Total Cess (INR) Drawback STR Total (DBK+STR) CIN NO. CIN DT. Reward Flag
0509056105  AHVPD5199DCH001  5782425  01 SEP 2017 12:09  PLGDY  1  420  188434.82  0  3769  0  3769  N.A.  N.A.  Click here to view item wise reward details </t>
  </si>
  <si>
    <t xml:space="preserve">EGM No. EGM Date Container No. Seal No. Error Message
R827781109  2017-9-11 0.0.0.0  BAXU5005517  402092  N.A. </t>
  </si>
  <si>
    <t xml:space="preserve">GSTIN    -    06AXXXXXXXXQ1ZK
Invoice Number Invoice Date IGST Paid(INR)
XXXX868  2017-08-21  33918 </t>
  </si>
  <si>
    <t>2017/09/02</t>
  </si>
  <si>
    <t xml:space="preserve">IEC CHA No. Job No. Job Date Port of Discharge Total Package Gross Weight (Kg) FOB(INR) Total Cess (INR) Drawback STR Total (DBK+STR) CIN NO. CIN DT. Reward Flag
0512072388  AHVPD5199DCH001  5796038  02 SEP 2017 12:09  ZWHRE  271  6053  547672.48  0  0  0  0  N.A.  N.A.  Click here to view item wise reward details </t>
  </si>
  <si>
    <t xml:space="preserve">Current Que LEO Date EP Copy Print Status DBK Scroll No Scroll Date EGM Integration Status
HIST  15 SEP 2017 00:09  Y  N.A.  N.A.  Y </t>
  </si>
  <si>
    <t xml:space="preserve">EGM No. EGM Date Container No. Seal No. Error Message
J477982609  2017-9-26 0.0.0.0  SEGU1281597  404224  N.A. </t>
  </si>
  <si>
    <t xml:space="preserve">GSTIN    -    07AXXXXXXXXF1Z0
Invoice Number Invoice Date IGST Paid(INR)
XXXXXXXXX-18  2017-09-01  103520 </t>
  </si>
  <si>
    <t>2017/09/04</t>
  </si>
  <si>
    <t xml:space="preserve">IEC CHA No. Job No. Job Date Port of Discharge Total Package Gross Weight (Kg) FOB(INR) Total Cess (INR) Drawback STR Total (DBK+STR) CIN NO. CIN DT. Reward Flag
0311014879  BEVPS0859HCH001  5809753  04 SEP 2017 12:09  DEHAM  579  8625  1037597.5  0  0  0  0  N.A.  N.A.  Click here to view item wise reward details </t>
  </si>
  <si>
    <t xml:space="preserve">EGM No. EGM Date Container No. Seal No. Error Message
R687621009  2017-9-10 0.0.0.0  CAXU8041890  402039  N.A. </t>
  </si>
  <si>
    <t xml:space="preserve">GSTIN    -    27AXXXXXXXXE1ZE
Invoice Number Invoice Date IGST Paid(INR)
XXXXXXXX-18  2017-08-24  303975 </t>
  </si>
  <si>
    <t xml:space="preserve">AWB No. Gateway Port Gateway EGM No. Gateway EGM Date Gateway Site ID Error Code
N.A.  INMUN1  134793  2017-09-08 00:00:00.0  INMUN1  C </t>
  </si>
  <si>
    <t xml:space="preserve">IEC CHA No. Job No. Job Date Port of Discharge Total Package Gross Weight (Kg) FOB(INR) Total Cess (INR) Drawback STR Total (DBK+STR) CIN NO. CIN DT. Reward Flag
0505000873  AOWPS6493KCH001  5810306  04 SEP 2017 12:09  THBKK  3  2335  718793.33  0  14376  0  14376  N.A.  N.A.  Click here to view item wise reward details </t>
  </si>
  <si>
    <t xml:space="preserve">EGM No. EGM Date Container No. Seal No. Error Message
R857260809  2017-9-8 0.0.0.0  BMOU6363160  402005  N.A. </t>
  </si>
  <si>
    <t xml:space="preserve">GSTIN    -    07AXXXXXXXXB1ZS
Invoice Number Invoice Date IGST Paid(INR)
XXXXXXX017  2017-08-31  96678 </t>
  </si>
  <si>
    <t xml:space="preserve">AWB No. Gateway Port Gateway EGM No. Gateway EGM Date Gateway Site ID Error Code
N.A.  INNSA1  134260  2017-08-31 00:00:00.0  INNSA1  S </t>
  </si>
  <si>
    <t xml:space="preserve">IEC CHA No. Job No. Job Date Port of Discharge Total Package Gross Weight (Kg) FOB(INR) Total Cess (INR) Drawback STR Total (DBK+STR) CIN NO. CIN DT. Reward Flag
0516900692  AATPS3087NCH001  5810930  04 SEP 2017 12:09  VNSGN  29  300.7  617495.4  0  9262  0  9262  N.A.  N.A.  Click here to view item wise reward details </t>
  </si>
  <si>
    <t xml:space="preserve">Current Que LEO Date EP Copy Print Status DBK Scroll No Scroll Date EGM Integration Status
HIST  14 SEP 2017 00:09  Y  21907/2017  26 SEP 2017 00:09  Y </t>
  </si>
  <si>
    <t xml:space="preserve">EGM No. EGM Date Container No. Seal No. Error Message
R577102009  2017-9-20 0.0.0.0  FCIU8912801  403359  N.A. </t>
  </si>
  <si>
    <t xml:space="preserve">GSTIN    -    08AXXXXXXXXF1ZL
Invoice Number Invoice Date IGST Paid(INR)
XXXXXXX-18  2017-08-29  72207 </t>
  </si>
  <si>
    <t xml:space="preserve">AWB No. Gateway Port Gateway EGM No. Gateway EGM Date Gateway Site ID Error Code
N.A.  INMUN1  135448  2017-09-20 00:00:00.0  INMUN1  S </t>
  </si>
  <si>
    <t xml:space="preserve">IEC CHA No. Job No. Job Date Port of Discharge Total Package Gross Weight (Kg) FOB(INR) Total Cess (INR) Drawback STR Total (DBK+STR) CIN NO. CIN DT. Reward Flag
AAHCC0755A  BTLPP6279BCH001  5826161  04 SEP 2017 12:09  AEJEA  90  1890  6907420.8  0  676928  0  676928  N.A.  N.A.  Click here to view item wise reward details </t>
  </si>
  <si>
    <t xml:space="preserve">EGM No. EGM Date Container No. Seal No. Error Message
R887140709  2017-9-7 0.0.0.0  MRKU4572116  401877  N.A. </t>
  </si>
  <si>
    <t xml:space="preserve">ROSL Availed Amount(INR) Scroll Number Scroll Date
Y  207223  25637/2017  2017-9-20 0.0.0.0 </t>
  </si>
  <si>
    <t xml:space="preserve">GSTIN    -    07AXXXXXXXXA1Z5
Invoice Number Invoice Date IGST Paid(INR)
XXXXXXXXXXXXX018  2017-09-04  345370 </t>
  </si>
  <si>
    <t xml:space="preserve">AWB No. Gateway Port Gateway EGM No. Gateway EGM Date Gateway Site ID Error Code
N.A.  INPAV1  134057  2017-08-28 00:00:00.0  INPAV1  S </t>
  </si>
  <si>
    <t xml:space="preserve">IEC CHA No. Job No. Job Date Port of Discharge Total Package Gross Weight (Kg) FOB(INR) Total Cess (INR) Drawback STR Total (DBK+STR) CIN NO. CIN DT. Reward Flag
AAHCC0755A  BTLPP6279BCH001  5826172  04 SEP 2017 12:09  AEJEA  90  1890  6907420.8  0  676928  0  676928  N.A.  N.A.  Click here to view item wise reward details </t>
  </si>
  <si>
    <t xml:space="preserve">EGM No. EGM Date Container No. Seal No. Error Message
R887140709  2017-9-7 0.0.0.0  MRKU4572116  401879  N.A. </t>
  </si>
  <si>
    <t xml:space="preserve">IEC CHA No. Job No. Job Date Port of Discharge Total Package Gross Weight (Kg) FOB(INR) Total Cess (INR) Drawback STR Total (DBK+STR) CIN NO. CIN DT. Reward Flag
AABCZ1026D  BTLPP6279BCH001  5826209  04 SEP 2017 12:09  AEJEA  84  1764  6849858.96  0  671286  0  671286  N.A.  N.A.  Click here to view item wise reward details </t>
  </si>
  <si>
    <t xml:space="preserve">EGM No. EGM Date Container No. Seal No. Error Message
R887140709  2017-9-7 0.0.0.0  MSKU1820720  401844  N.A. </t>
  </si>
  <si>
    <t xml:space="preserve">ROSL Availed Amount(INR) Scroll Number Scroll Date
Y  205496  25637/2017  2017-9-20 0.0.0.0 </t>
  </si>
  <si>
    <t xml:space="preserve">GSTIN    -    07AXXXXXXXXD1ZS
Invoice Number Invoice Date IGST Paid(INR)
XXXXXXXXXXXXX018  2017-09-04  342492 </t>
  </si>
  <si>
    <t>2017/09/05</t>
  </si>
  <si>
    <t xml:space="preserve">IEC CHA No. Job No. Job Date Port of Discharge Total Package Gross Weight (Kg) FOB(INR) Total Cess (INR) Drawback STR Total (DBK+STR) CIN NO. CIN DT. Reward Flag
0616907401  AACCP0287DCH001  5840247  05 SEP 2017 12:09  CAVAN  11  231.71  54380  0  816  0  816  N.A.  N.A.  Click here to view item wise reward details </t>
  </si>
  <si>
    <t xml:space="preserve">Current Que LEO Date EP Copy Print Status DBK Scroll No Scroll Date EGM Integration Status
HIST  12 SEP 2017 00:09  Y  22032/2017  06 OCT 2017 00:10  Y </t>
  </si>
  <si>
    <t xml:space="preserve">EGM No. EGM Date Container No. Seal No. Error Message
R137262109  2017-9-21 0.0.0.0  DFSU2836647  403366  N.A. </t>
  </si>
  <si>
    <t xml:space="preserve">GSTIN    -    09BXXXXXXXXJ1ZL
Invoice Number Invoice Date IGST Paid(INR)
XXXXXXXXX018  2017-08-28  15226 </t>
  </si>
  <si>
    <t xml:space="preserve">AWB No. Gateway Port Gateway EGM No. Gateway EGM Date Gateway Site ID Error Code
N.A.  INNSA1  135068  2017-09-14 00:00:00.0  INNSA1  S </t>
  </si>
  <si>
    <t xml:space="preserve">IEC CHA No. Job No. Job Date Port of Discharge Total Package Gross Weight (Kg) FOB(INR) Total Cess (INR) Drawback STR Total (DBK+STR) CIN NO. CIN DT. Reward Flag
0516517431  AAEFH1939HCH001  5846093  05 SEP 2017 12:09  ILHFA  4  3346  308969.78  0  6179  0  6179  N.A.  N.A.  Click here to view item wise reward details </t>
  </si>
  <si>
    <t xml:space="preserve">EGM No. EGM Date Container No. Seal No. Error Message
R827781109  2017-9-11 0.0.0.0  IRNU4551480  402099  N.A. </t>
  </si>
  <si>
    <t xml:space="preserve">GSTIN    -    07BXXXXXXXXB1Z1
Invoice Number Invoice Date IGST Paid(INR)
XXXXXXXXXXXXXX-18  2017-09-01  55614 </t>
  </si>
  <si>
    <t xml:space="preserve">IEC CHA No. Job No. Job Date Port of Discharge Total Package Gross Weight (Kg) FOB(INR) Total Cess (INR) Drawback STR Total (DBK+STR) CIN NO. CIN DT. Reward Flag
0507023722  AANPA2304GCH001  5851341  05 SEP 2017 12:09  LKCMB  42  1060  277911  0  0  0  0  N.A.  N.A.  Click here to view item wise reward details </t>
  </si>
  <si>
    <t xml:space="preserve">Current Que LEO Date EP Copy Print Status DBK Scroll No Scroll Date EGM Integration Status
HIST  06 SEP 2017 00:09  Y  N.A.  N.A.  Y </t>
  </si>
  <si>
    <t xml:space="preserve">EGM No. EGM Date Container No. Seal No. Error Message
T707360909  2017-9-9 0.0.0.0  BEAU4624635  402036  N.A. </t>
  </si>
  <si>
    <t xml:space="preserve">GSTIN    -    07AXXXXXXXXB1ZM
Invoice Number Invoice Date IGST Paid(INR)
XXXXXXXXXX/05  2017-09-05  50021 </t>
  </si>
  <si>
    <t xml:space="preserve">IEC CHA No. Job No. Job Date Port of Discharge Total Package Gross Weight (Kg) FOB(INR) Total Cess (INR) Drawback STR Total (DBK+STR) CIN NO. CIN DT. Reward Flag
0592023052  AMJPS3049QCH001  5855797  05 SEP 2017 12:09  CNSHA  17  7530  2354180.27  0  47084  0  47084  N.A.  N.A.  Click here to view item wise reward details </t>
  </si>
  <si>
    <t xml:space="preserve">EGM No. EGM Date Container No. Seal No. Error Message
J207160709  2017-9-7 0.0.0.0  HLBU1502918  000515  N.A. </t>
  </si>
  <si>
    <t xml:space="preserve">GSTIN    -    06AXXXXXXXXE4ZU
Invoice Number Invoice Date IGST Paid(INR)
XXXXXXXXXXXXXX017  2017-08-29  659169 </t>
  </si>
  <si>
    <t xml:space="preserve">AWB No. Gateway Port Gateway EGM No. Gateway EGM Date Gateway Site ID Error Code
N.A.  INNSA1  134474  2017-09-04 00:00:00.0  INNSA1  S </t>
  </si>
  <si>
    <t xml:space="preserve">IEC CHA No. Job No. Job Date Port of Discharge Total Package Gross Weight (Kg) FOB(INR) Total Cess (INR) Drawback STR Total (DBK+STR) CIN NO. CIN DT. Reward Flag
0594004373  AAHCR2213ACH001  5858203  05 SEP 2017 12:09  AEJEA  228  5415.465  840043.1  0  12781  0  12781  N.A.  N.A.  Click here to view item wise reward details </t>
  </si>
  <si>
    <t xml:space="preserve">EGM No. EGM Date Container No. Seal No. Error Message
T417981309  2017-9-13 0.0.0.0  BAXU5064802  402212  N.A. </t>
  </si>
  <si>
    <t xml:space="preserve">GSTIN    -    07AXXXXXXXXN1ZK
Invoice Number Invoice Date IGST Paid(INR)
XXXXXXXXXXXXXX-18  2017-09-04  145607 </t>
  </si>
  <si>
    <t xml:space="preserve">AWB No. Gateway Port Gateway EGM No. Gateway EGM Date Gateway Site ID Error Code
N.A.  INMUN1  135390  2017-09-19 00:00:00.0  INMUN1  S </t>
  </si>
  <si>
    <t xml:space="preserve">IEC CHA No. Job No. Job Date Port of Discharge Total Package Gross Weight (Kg) FOB(INR) Total Cess (INR) Drawback STR Total (DBK+STR) CIN NO. CIN DT. Reward Flag
0504016865  AADCA0273BCH001  5860740  05 SEP 2017 12:09  SEHEL  784  3292.8  964054.86  0  0  0  0  N.A.  N.A.  Click here to view item wise reward details </t>
  </si>
  <si>
    <t xml:space="preserve">Current Que LEO Date EP Copy Print Status DBK Scroll No Scroll Date EGM Integration Status
HIST  11 SEP 2017 00:09  Y  N.A.  N.A.  Y </t>
  </si>
  <si>
    <t xml:space="preserve">EGM No. EGM Date Container No. Seal No. Error Message
R517202109  2017-9-21 0.0.0.0  APZU3002351  402539  N.A. </t>
  </si>
  <si>
    <t xml:space="preserve">GSTIN    -    06AXXXXXXXXJ1ZG
Invoice Number Invoice Date IGST Paid(INR)
XXXX009  2017-08-28  115686 </t>
  </si>
  <si>
    <t>2017/09/06</t>
  </si>
  <si>
    <t xml:space="preserve">IEC CHA No. Job No. Job Date Port of Discharge Total Package Gross Weight (Kg) FOB(INR) Total Cess (INR) Drawback STR Total (DBK+STR) CIN NO. CIN DT. Reward Flag
0504064754  FHMPS1058ECH001  5873427  06 SEP 2017 12:09  LKCMB  8  485  724814.73  0  14351  0  14351  N.A.  N.A.  Click here to view item wise reward details </t>
  </si>
  <si>
    <t xml:space="preserve">EGM No. EGM Date Container No. Seal No. Error Message
T707121409  2017-9-14 0.0.0.0  BEAU4623808  402610  N.A. </t>
  </si>
  <si>
    <t xml:space="preserve">GSTIN    -    09AXXXXXXXXP2ZF
Invoice Number Invoice Date IGST Paid(INR)
XXXXXXXXX/17  2017-08-26  36232 </t>
  </si>
  <si>
    <t xml:space="preserve">AWB No. Gateway Port Gateway EGM No. Gateway EGM Date Gateway Site ID Error Code
N.A.  INNSA1  134875  2017-09-11 00:00:00.0  INNSA1  S </t>
  </si>
  <si>
    <t xml:space="preserve">IEC CHA No. Job No. Job Date Port of Discharge Total Package Gross Weight (Kg) FOB(INR) Total Cess (INR) Drawback STR Total (DBK+STR) CIN NO. CIN DT. Reward Flag
0507062884  AYZPP5973GCH001  5876744  06 SEP 2017 12:09  BRSSZ  50  2011  814769.5  0  16295  0  16295  N.A.  N.A.  Click here to view item wise reward details </t>
  </si>
  <si>
    <t xml:space="preserve">EGM No. EGM Date Container No. Seal No. Error Message
R667380909  2017-9-9 0.0.0.0  INKU6640898  003234  N.A. </t>
  </si>
  <si>
    <t xml:space="preserve">GSTIN    -    09AXXXXXXXXJ1Z6
Invoice Number Invoice Date IGST Paid(INR)
XXXXXXXXXXX018  2017-09-04  146655 </t>
  </si>
  <si>
    <t xml:space="preserve">IEC CHA No. Job No. Job Date Port of Discharge Total Package Gross Weight (Kg) FOB(INR) Total Cess (INR) Drawback STR Total (DBK+STR) CIN NO. CIN DT. Reward Flag
0516502832  AHDPK8975CCH001  5879330  06 SEP 2017 12:09  USOLI  316  2642.9  1929772.11  0  17921  0  17921  N.A.  N.A.  Click here to view item wise reward details </t>
  </si>
  <si>
    <t xml:space="preserve">Current Que LEO Date EP Copy Print Status DBK Scroll No Scroll Date EGM Integration Status
HIST  08 SEP 2017 00:09  Y  24432/2018  25 MAR 2018 00:03  Y </t>
  </si>
  <si>
    <t xml:space="preserve">EGM No. EGM Date Container No. Seal No. Error Message
R917401509  2017-9-15 0.0.0.0  TCNU4310695  402647  N.A. </t>
  </si>
  <si>
    <t xml:space="preserve">ROSL Availed Amount(INR) Scroll Number Scroll Date
Y  7168  32661/2019  2019-2-8 0.0.0.0 </t>
  </si>
  <si>
    <t xml:space="preserve">GSTIN    -    09AXXXXXXXXA1ZJ
Invoice Number Invoice Date IGST Paid(INR)
XXXXXXXXXXXXXX8/2  2017-08-10  96485 </t>
  </si>
  <si>
    <t xml:space="preserve">AWB No. Gateway Port Gateway EGM No. Gateway EGM Date Gateway Site ID Error Code
N.A.  INNSA1  134549  2017-09-05 00:00:00.0  INNSA1  S </t>
  </si>
  <si>
    <t xml:space="preserve">IEC CHA No. Job No. Job Date Port of Discharge Total Package Gross Weight (Kg) FOB(INR) Total Cess (INR) Drawback STR Total (DBK+STR) CIN NO. CIN DT. Reward Flag
3311006062  AHDPK8975CCH001  5884732  06 SEP 2017 12:09  CLSCL  40  249.02  465723  0  0  0  0  N.A.  N.A.  Click here to view item wise reward details </t>
  </si>
  <si>
    <t xml:space="preserve">EGM No. EGM Date Container No. Seal No. Error Message
R1107481609  2017-9-16 0.0.0.0  KMTU7228639  402645  N.A. </t>
  </si>
  <si>
    <t xml:space="preserve">GSTIN    -    09AXXXXXXXXB1ZS
Invoice Number Invoice Date IGST Paid(INR)
XXXXXXXXXXX-18  2017-08-28  13952 </t>
  </si>
  <si>
    <t xml:space="preserve">AWB No. Gateway Port Gateway EGM No. Gateway EGM Date Gateway Site ID Error Code
N.A.  INNSA1  135239  2017-09-18 00:00:00.0  INNSA1  S </t>
  </si>
  <si>
    <t>2017/09/07</t>
  </si>
  <si>
    <t xml:space="preserve">IEC CHA No. Job No. Job Date Port of Discharge Total Package Gross Weight (Kg) FOB(INR) Total Cess (INR) Drawback STR Total (DBK+STR) CIN NO. CIN DT. Reward Flag
0512059152  AASPK9028QCH001  5893896  07 SEP 2017 12:09  AEDXB  43  1335  314838.9  0  22790  0  22790  N.A.  N.A.  Click here to view item wise reward details </t>
  </si>
  <si>
    <t xml:space="preserve">Current Que LEO Date EP Copy Print Status DBK Scroll No Scroll Date EGM Integration Status
HIST  12 SEP 2017 00:09  Y  21843/2017  21 SEP 2017 00:09  Y </t>
  </si>
  <si>
    <t xml:space="preserve">EGM No. EGM Date Container No. Seal No. Error Message
R667781809  2017-9-18 0.0.0.0  CRXU3033449  403319  N.A. </t>
  </si>
  <si>
    <t xml:space="preserve">GSTIN    -    07AXXXXXXXXP1ZN
Invoice Number Invoice Date IGST Paid(INR)
XXXXXXXXXXX-18  2017-09-06  196598 </t>
  </si>
  <si>
    <t xml:space="preserve">IEC CHA No. Job No. Job Date Port of Discharge Total Package Gross Weight (Kg) FOB(INR) Total Cess (INR) Drawback STR Total (DBK+STR) CIN NO. CIN DT. Reward Flag
0505032473  BEEPS0785MCH001  5905863  07 SEP 2017 12:09  DEHAM  40  1150  411255  0  4113  0  4113  N.A.  N.A.  Click here to view item wise reward details </t>
  </si>
  <si>
    <t xml:space="preserve">Current Que LEO Date EP Copy Print Status DBK Scroll No Scroll Date EGM Integration Status
HIST  13 SEP 2017 00:09  Y  22032/2017  06 OCT 2017 00:10  Y </t>
  </si>
  <si>
    <t xml:space="preserve">EGM No. EGM Date Container No. Seal No. Error Message
R777282109  2017-9-21 0.0.0.0  TGHU9884825  403376  N.A. </t>
  </si>
  <si>
    <t xml:space="preserve">GSTIN    -    06AXXXXXXXXN1ZC
Invoice Number Invoice Date IGST Paid(INR)
XXXXXXXX005  2017-09-06  20576 </t>
  </si>
  <si>
    <t xml:space="preserve">AWB No. Gateway Port Gateway EGM No. Gateway EGM Date Gateway Site ID Error Code
N.A.  INMUN1  135462  2017-09-20 00:00:00.0  INMUN1  S </t>
  </si>
  <si>
    <t>2017/09/08</t>
  </si>
  <si>
    <t xml:space="preserve">IEC CHA No. Job No. Job Date Port of Discharge Total Package Gross Weight (Kg) FOB(INR) Total Cess (INR) Drawback STR Total (DBK+STR) CIN NO. CIN DT. Reward Flag
AAKFD0331P  AMAPS8772KCH001  5922687  08 SEP 2017 12:09  DEHAM  1  275  234025  0  0  0  0  N.A.  N.A.  Click here to view item wise reward details </t>
  </si>
  <si>
    <t xml:space="preserve">Current Que LEO Date EP Copy Print Status DBK Scroll No Scroll Date EGM Integration Status
HIST  14 SEP 2017 00:09  Y  N.A.  N.A.  Y </t>
  </si>
  <si>
    <t xml:space="preserve">EGM No. EGM Date Container No. Seal No. Error Message
R367602309  2017-9-23 0.0.0.0  CAIU7114563  403933  N.A. </t>
  </si>
  <si>
    <t xml:space="preserve">GSTIN    -    03AXXXXXXXXP1ZK
Invoice Number Invoice Date IGST Paid(INR)
XE/2  2017-09-06  42767 </t>
  </si>
  <si>
    <t xml:space="preserve">IEC CHA No. Job No. Job Date Port of Discharge Total Package Gross Weight (Kg) FOB(INR) Total Cess (INR) Drawback STR Total (DBK+STR) CIN NO. CIN DT. Reward Flag
0512067872  AAJCA1821BCH001  5928204  08 SEP 2017 12:09  GBSOU  3  526.52  564076.95  0  7166  0  7166  N.A.  N.A.  Click here to view item wise reward details </t>
  </si>
  <si>
    <t xml:space="preserve">EGM No. EGM Date Container No. Seal No. Error Message
R157821809  2017-9-18 0.0.0.0  INKU6262099  403336  N.A. </t>
  </si>
  <si>
    <t xml:space="preserve">GSTIN    -    06AXXXXXXXXR1ZU
Invoice Number Invoice Date IGST Paid(INR)
XXXXXXXXXXXXXX-18  2017-09-06  126045 </t>
  </si>
  <si>
    <t xml:space="preserve">AWB No. Gateway Port Gateway EGM No. Gateway EGM Date Gateway Site ID Error Code
N.A.  INNSA1  134930  2017-09-12 00:00:00.0  INNSA1  C </t>
  </si>
  <si>
    <t>2017/09/09</t>
  </si>
  <si>
    <t xml:space="preserve">IEC CHA No. Job No. Job Date Port of Discharge Total Package Gross Weight (Kg) FOB(INR) Total Cess (INR) Drawback STR Total (DBK+STR) CIN NO. CIN DT. Reward Flag
0511087098  AAACE2126JCH014  5947300  09 SEP 2017 12:09  LKCMB  38  596  144590.77  0  0  0  0  N.A.  N.A.  Click here to view item wise reward details </t>
  </si>
  <si>
    <t xml:space="preserve">Current Que LEO Date EP Copy Print Status DBK Scroll No Scroll Date EGM Integration Status
HIST  13 SEP 2017 00:09  Y  N.A.  N.A.  Y </t>
  </si>
  <si>
    <t xml:space="preserve">EGM No. EGM Date Container No. Seal No. Error Message
R157821809  2017-9-18 0.0.0.0  CCLU6335831  403325  N.A. </t>
  </si>
  <si>
    <t xml:space="preserve">GSTIN    -    09AXXXXXXXXP1ZN
Invoice Number Invoice Date IGST Paid(INR)
XX/04  2017-09-08  41022 </t>
  </si>
  <si>
    <t>2017/09/11</t>
  </si>
  <si>
    <t xml:space="preserve">IEC CHA No. Job No. Job Date Port of Discharge Total Package Gross Weight (Kg) FOB(INR) Total Cess (INR) Drawback STR Total (DBK+STR) CIN NO. CIN DT. Reward Flag
3104003254  AAACA3307KCH003  5973357  11 SEP 2017 12:09  USSTL  1  190  194114.25  0  3882  0  3882  N.A.  N.A.  Click here to view item wise reward details </t>
  </si>
  <si>
    <t xml:space="preserve">Current Que LEO Date EP Copy Print Status DBK Scroll No Scroll Date EGM Integration Status
HIST  13 SEP 2017 00:09  Y  21843/2017  21 SEP 2017 00:09  Y </t>
  </si>
  <si>
    <t xml:space="preserve">EGM No. EGM Date Container No. Seal No. Error Message
R1117461609  2017-9-16 0.0.0.0  NYKU4408134  402667  N.A. </t>
  </si>
  <si>
    <t xml:space="preserve">GSTIN    -    27AXXXXXXXXR1ZF
Invoice Number Invoice Date IGST Paid(INR)
XXXXXXXXXXXX-18  2017-09-04  8950 </t>
  </si>
  <si>
    <t xml:space="preserve">AWB No. Gateway Port Gateway EGM No. Gateway EGM Date Gateway Site ID Error Code
N.A.  INMUN1  135461  2017-09-20 00:00:00.0  INMUN1  S </t>
  </si>
  <si>
    <t xml:space="preserve">IEC CHA No. Job No. Job Date Port of Discharge Total Package Gross Weight (Kg) FOB(INR) Total Cess (INR) Drawback STR Total (DBK+STR) CIN NO. CIN DT. Reward Flag
0589053850  AMJPS3049QCH001  5977016  11 SEP 2017 12:09  EGSOK  15  6472  938063.28  0  18761  0  18761  N.A.  N.A.  Click here to view item wise reward details </t>
  </si>
  <si>
    <t xml:space="preserve">Current Que LEO Date EP Copy Print Status DBK Scroll No Scroll Date EGM Integration Status
HIST  14 SEP 2017 00:09  Y  21843/2017  21 SEP 2017 00:09  Y </t>
  </si>
  <si>
    <t xml:space="preserve">EGM No. EGM Date Container No. Seal No. Error Message
R917401509  2017-9-15 0.0.0.0  TCNU3705026  000111  N.A. </t>
  </si>
  <si>
    <t xml:space="preserve">GSTIN    -    06AXXXXXXXXM1ZZ
Invoice Number Invoice Date IGST Paid(INR)
045  2017-08-17  168843 </t>
  </si>
  <si>
    <t xml:space="preserve">AWB No. Gateway Port Gateway EGM No. Gateway EGM Date Gateway Site ID Error Code
N.A.  INNSA1  134711  2017-09-07 00:00:00.0  INNSA1  ST </t>
  </si>
  <si>
    <t xml:space="preserve">IEC CHA No. Job No. Job Date Port of Discharge Total Package Gross Weight (Kg) FOB(INR) Total Cess (INR) Drawback STR Total (DBK+STR) CIN NO. CIN DT. Reward Flag
0515060291  AABCS2867DCH001  5979721  11 SEP 2017 12:09  PLGDY  25  295  189750  0  6732  0  6732  N.A.  N.A.  Click here to view item wise reward details </t>
  </si>
  <si>
    <t xml:space="preserve">Current Que LEO Date EP Copy Print Status DBK Scroll No Scroll Date EGM Integration Status
HIST  15 SEP 2017 00:09  Y  22032/2017  06 OCT 2017 00:10  Y </t>
  </si>
  <si>
    <t xml:space="preserve">EGM No. EGM Date Container No. Seal No. Error Message
R137262109  2017-9-21 0.0.0.0  VSTU9000234  403375  N.A. </t>
  </si>
  <si>
    <t xml:space="preserve">GSTIN    -    07AXXXXXXXXM1ZZ
Invoice Number Invoice Date IGST Paid(INR)
XXXXXXXXXXXXXX-18  2017-09-04  53296 </t>
  </si>
  <si>
    <t xml:space="preserve">AWB No. Gateway Port Gateway EGM No. Gateway EGM Date Gateway Site ID Error Code
N.A.  INNSA1  135192  2017-09-15 00:00:00.0  INNSA1  S </t>
  </si>
  <si>
    <t xml:space="preserve">IEC CHA No. Job No. Job Date Port of Discharge Total Package Gross Weight (Kg) FOB(INR) Total Cess (INR) Drawback STR Total (DBK+STR) CIN NO. CIN DT. Reward Flag
0507051360  AAAFJ1721HCH058  5981869  11 SEP 2017 12:09  THBKK  2  300  378785.28  0  7576  0  7576  N.A.  N.A.  Click here to view item wise reward details </t>
  </si>
  <si>
    <t xml:space="preserve">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 </t>
  </si>
  <si>
    <t xml:space="preserve">GSTIN    -    06AXXXXXXXXR2ZO
Invoice Number Invoice Date IGST Paid(INR)
XXXXXXXXXXXXXXP80  2017-09-11  106770 </t>
  </si>
  <si>
    <t xml:space="preserve">AWB No. Gateway Port Gateway EGM No. Gateway EGM Date Gateway Site ID Error Code
N.A.  INNSA1  135086  2017-09-14 00:00:00.0  INNSA1  S </t>
  </si>
  <si>
    <t xml:space="preserve">IEC CHA No. Job No. Job Date Port of Discharge Total Package Gross Weight (Kg) FOB(INR) Total Cess (INR) Drawback STR Total (DBK+STR) CIN NO. CIN DT. Reward Flag
0507023722  AANPA2304GCH001  5982604  11 SEP 2017 12:09  LKCMB  20  505  136145.63  0  0  0  0  N.A.  N.A.  Click here to view item wise reward details </t>
  </si>
  <si>
    <t xml:space="preserve">EGM No. EGM Date Container No. Seal No. Error Message
T257542209  2017-9-22 0.0.0.0  ZCSU8532458  403390  N.A. </t>
  </si>
  <si>
    <t xml:space="preserve">GSTIN    -    07AXXXXXXXXB1ZM
Invoice Number Invoice Date IGST Paid(INR)
XXXXXXXXXX/06  2017-09-11  24505 </t>
  </si>
  <si>
    <t xml:space="preserve">AWB No. Gateway Port Gateway EGM No. Gateway EGM Date Gateway Site ID Error Code
N.A.  INNSA1  134938  2017-09-12 00:00:00.0  INNSA1  S </t>
  </si>
  <si>
    <t>2017/09/12</t>
  </si>
  <si>
    <t xml:space="preserve">IEC CHA No. Job No. Job Date Port of Discharge Total Package Gross Weight (Kg) FOB(INR) Total Cess (INR) Drawback STR Total (DBK+STR) CIN NO. CIN DT. Reward Flag
0506004830  AAJCA1821BCH001  5999477  12 SEP 2017 12:09  LKCMB  10  246  426937.5  0  6053  0  6053  N.A.  N.A.  Click here to view item wise reward details </t>
  </si>
  <si>
    <t xml:space="preserve">GSTIN    -    07AXXXXXXXXK1ZF
Invoice Number Invoice Date IGST Paid(INR)
10  2017-09-11  120960 </t>
  </si>
  <si>
    <t xml:space="preserve">IEC CHA No. Job No. Job Date Port of Discharge Total Package Gross Weight (Kg) FOB(INR) Total Cess (INR) Drawback STR Total (DBK+STR) CIN NO. CIN DT. Reward Flag
1314000233  AAFCK0712RCH001  6001781  12 SEP 2017 12:09  ZADUR  12  5468  1151276.76  0  14152  0  14152  N.A.  N.A.  Click here to view item wise reward details </t>
  </si>
  <si>
    <t xml:space="preserve">Current Que LEO Date EP Copy Print Status DBK Scroll No Scroll Date EGM Integration Status
HIST  14 SEP 2017 00:09  Y  22032/2017  06 OCT 2017 00:10  Y </t>
  </si>
  <si>
    <t xml:space="preserve">EGM No. EGM Date Container No. Seal No. Error Message
R137262109  2017-9-21 0.0.0.0  PONU2056658  403381  N.A. </t>
  </si>
  <si>
    <t xml:space="preserve">GSTIN    -    08AXXXXXXXXR1ZP
Invoice Number Invoice Date IGST Paid(INR)
XXXXXX-24  2017-09-05  322355 </t>
  </si>
  <si>
    <t xml:space="preserve">AWB No. Gateway Port Gateway EGM No. Gateway EGM Date Gateway Site ID Error Code
N.A.  INNSA1  134766  2017-09-08 00:00:00.0  INNSA1  S </t>
  </si>
  <si>
    <t xml:space="preserve">IEC CHA No. Job No. Job Date Port of Discharge Total Package Gross Weight (Kg) FOB(INR) Total Cess (INR) Drawback STR Total (DBK+STR) CIN NO. CIN DT. Reward Flag
0515920274  AAAFO0713CCH001  6004661  12 SEP 2017 12:09  ESBCN  3  199  209411.84  0  0  0  0  N.A.  N.A.  Click here to view item wise reward details </t>
  </si>
  <si>
    <t xml:space="preserve">EGM No. EGM Date Container No. Seal No. Error Message
J277642309  2017-9-23 0.0.0.0  DFSU2494143  403925  N.A. </t>
  </si>
  <si>
    <t xml:space="preserve">GSTIN    -    07AXXXXXXXXC1ZB
Invoice Number Invoice Date IGST Paid(INR)
XXXXXXXXXXXRTS  2017-09-06  28364 </t>
  </si>
  <si>
    <t xml:space="preserve">AWB No. Gateway Port Gateway EGM No. Gateway EGM Date Gateway Site ID Error Code
N.A.  INNSA1  135065  2017-09-14 00:00:00.0  INNSA1  S </t>
  </si>
  <si>
    <t xml:space="preserve">IEC CHA No. Job No. Job Date Port of Discharge Total Package Gross Weight (Kg) FOB(INR) Total Cess (INR) Drawback STR Total (DBK+STR) CIN NO. CIN DT. Reward Flag
0513013261  AABCS7195NCH001  6006790  12 SEP 2017 12:09  AEJEA  10  307.8  111952.5  0  1679  0  1679  N.A.  N.A.  Click here to view item wise reward details </t>
  </si>
  <si>
    <t xml:space="preserve">Current Que LEO Date EP Copy Print Status DBK Scroll No Scroll Date EGM Integration Status
HIST  21 SEP 2017 00:09  Y  22374/2017  31 OCT 2017 00:10  Y </t>
  </si>
  <si>
    <t xml:space="preserve">EGM No. EGM Date Container No. Seal No. Error Message
T437022609  2017-9-26 0.0.0.0  BLJU4450787  403977  N.A. </t>
  </si>
  <si>
    <t xml:space="preserve">GSTIN    -    09AXXXXXXXXA1Z8
Invoice Number Invoice Date IGST Paid(INR)
02  2017-09-11  20794 </t>
  </si>
  <si>
    <t xml:space="preserve">AWB No. Gateway Port Gateway EGM No. Gateway EGM Date Gateway Site ID Error Code
N.A.  INMUN1  135995  2017-09-28 00:00:00.0  INMUN1  S </t>
  </si>
  <si>
    <t xml:space="preserve">IEC CHA No. Job No. Job Date Port of Discharge Total Package Gross Weight (Kg) FOB(INR) Total Cess (INR) Drawback STR Total (DBK+STR) CIN NO. CIN DT. Reward Flag
0709012331  AACCN5026ECH007  6007285  12 SEP 2017 12:09  PACFZ  7  4045  1844633.12  0  36893  0  36893  N.A.  N.A.  Click here to view item wise reward details </t>
  </si>
  <si>
    <t xml:space="preserve">Current Que LEO Date EP Copy Print Status DBK Scroll No Scroll Date EGM Integration Status
HIST  14 SEP 2017 00:09  Y  24432/2018  25 MAR 2018 00:03  Y </t>
  </si>
  <si>
    <t xml:space="preserve">EGM No. EGM Date Container No. Seal No. Error Message
R157821809  2017-9-18 0.0.0.0  TRLU6853517  403326  N.A. </t>
  </si>
  <si>
    <t xml:space="preserve">GSTIN    -    06AXXXXXXXXD1Z8
Invoice Number Invoice Date IGST Paid(INR)
XXXXXXXXXXXXXX030  2017-09-11  341891 </t>
  </si>
  <si>
    <t xml:space="preserve">IEC CHA No. Job No. Job Date Port of Discharge Total Package Gross Weight (Kg) FOB(INR) Total Cess (INR) Drawback STR Total (DBK+STR) CIN NO. CIN DT. Reward Flag
AAECE6932C  BTLPP6279BCH001  6008035  12 SEP 2017 12:09  AEJEA  60  1050  6311844  0  618561  0  618561  N.A.  N.A.  Click here to view item wise reward details </t>
  </si>
  <si>
    <t xml:space="preserve">EGM No. EGM Date Container No. Seal No. Error Message
R367681709  2017-9-17 0.0.0.0  MRKU3498204  403242  N.A. </t>
  </si>
  <si>
    <t xml:space="preserve">ROSL Availed Amount(INR) Scroll Number Scroll Date
Y  189355  25637/2017  2017-9-20 0.0.0.0 </t>
  </si>
  <si>
    <t xml:space="preserve">GSTIN    -    07AXXXXXXXXC1ZV
Invoice Number Invoice Date IGST Paid(INR)
XXXXXXXXXXXXX018  2017-09-11  315592 </t>
  </si>
  <si>
    <t xml:space="preserve">AWB No. Gateway Port Gateway EGM No. Gateway EGM Date Gateway Site ID Error Code
N.A.  INPAV1  134063  2017-08-28 00:00:00.0  INPAV1  S </t>
  </si>
  <si>
    <t xml:space="preserve">IEC CHA No. Job No. Job Date Port of Discharge Total Package Gross Weight (Kg) FOB(INR) Total Cess (INR) Drawback STR Total (DBK+STR) CIN NO. CIN DT. Reward Flag
AAECE6932C  BTLPP6279BCH001  6008096  12 SEP 2017 12:09  AEJEA  58  1015  6101449.2  0  597942  0  597942  N.A.  N.A.  Click here to view item wise reward details </t>
  </si>
  <si>
    <t xml:space="preserve">EGM No. EGM Date Container No. Seal No. Error Message
R367681709  2017-9-17 0.0.0.0  MRKU3066936  403208  N.A. </t>
  </si>
  <si>
    <t xml:space="preserve">ROSL Availed Amount(INR) Scroll Number Scroll Date
Y  183043  25637/2017  2017-9-20 0.0.0.0 </t>
  </si>
  <si>
    <t xml:space="preserve">GSTIN    -    07AXXXXXXXXC1ZV
Invoice Number Invoice Date IGST Paid(INR)
XXXXXXXXXXXXX018  2017-09-11  305072 </t>
  </si>
  <si>
    <t xml:space="preserve">IEC CHA No. Job No. Job Date Port of Discharge Total Package Gross Weight (Kg) FOB(INR) Total Cess (INR) Drawback STR Total (DBK+STR) CIN NO. CIN DT. Reward Flag
AAECE6932C  BTLPP6279BCH001  6008090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</si>
  <si>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AAECE6932C  BTLPP6279BCH001  6008120  12 SEP 2017 12:09  AEJEA  58  1015  6101449.2  0  597942  0  597942  N.A.  N.A.  Click here to view item wise reward details </t>
  </si>
  <si>
    <t xml:space="preserve">IEC CHA No. Job No. Job Date Port of Discharge Total Package Gross Weight (Kg) FOB(INR) Total Cess (INR) Drawback STR Total (DBK+STR) CIN NO. CIN DT. Reward Flag
AAECE6932C  BTLPP6279BCH001  6008163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</si>
  <si>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0595012647  AAACC6689ECH001  6010406  12 SEP 2017 12:09  PKKHI  3138  47059  7890078.87  0  118351  0  118351  N.A.  N.A.  Click here to view item wise reward details </t>
  </si>
  <si>
    <t xml:space="preserve">Current Que LEO Date EP Copy Print Status DBK Scroll No Scroll Date EGM Integration Status
HIST  18 SEP 2017 00:09  Y  22032/2017  06 OCT 2017 00:10  Y </t>
  </si>
  <si>
    <t xml:space="preserve">EGM No. EGM Date Container No. Seal No. Error Message
TX227302109  2017-9-21 0.0.0.0  SEGU5562627  001866  N.A. </t>
  </si>
  <si>
    <t xml:space="preserve">GSTIN    -    07AXXXXXXXXB1ZR
Invoice Number Invoice Date IGST Paid(INR)
XXXXXXXXX-18  2017-09-12  946804 </t>
  </si>
  <si>
    <t xml:space="preserve">AWB No. Gateway Port Gateway EGM No. Gateway EGM Date Gateway Site ID Error Code
N.A.  INMUN1  134211  2017-08-30 00:00:00.0  INMUN1  S </t>
  </si>
  <si>
    <t xml:space="preserve">IEC CHA No. Job No. Job Date Port of Discharge Total Package Gross Weight (Kg) FOB(INR) Total Cess (INR) Drawback STR Total (DBK+STR) CIN NO. CIN DT. Reward Flag
0511063865  ARPPK3328RCH001  6012243  12 SEP 2017 12:09  IDJKT  1  35  17068.65  0  0  0  0  N.A.  N.A.  Click here to view item wise reward details </t>
  </si>
  <si>
    <t xml:space="preserve">EGM No. EGM Date Container No. Seal No. Error Message
R157821809  2017-9-18 0.0.0.0  WHLU5173740  403333  N.A. </t>
  </si>
  <si>
    <t xml:space="preserve">GSTIN    -    06AXXXXXXXXB1ZW
Invoice Number Invoice Date IGST Paid(INR)
XXXXXX338  2017-09-12  5036 </t>
  </si>
  <si>
    <t xml:space="preserve">IEC CHA No. Job No. Job Date Port of Discharge Total Package Gross Weight (Kg) FOB(INR) Total Cess (INR) Drawback STR Total (DBK+STR) CIN NO. CIN DT. Reward Flag
0598059113  AASPK9028QCH001  6016290  12 SEP 2017 12:09  TZDAR  845  10250  1390057.9  0  97304  0  97304  N.A.  N.A.  Click here to view item wise reward details </t>
  </si>
  <si>
    <t xml:space="preserve">Current Que LEO Date EP Copy Print Status DBK Scroll No Scroll Date EGM Integration Status
HIST  16 SEP 2017 00:09  Y  22032/2017  06 OCT 2017 00:10  Y </t>
  </si>
  <si>
    <t xml:space="preserve">EGM No. EGM Date Container No. Seal No. Error Message
R777282109  2017-9-21 0.0.0.0  MSCU3061583  403622  N.A. </t>
  </si>
  <si>
    <t xml:space="preserve">GSTIN    -    07AXXXXXXXXL1ZI
Invoice Number Invoice Date IGST Paid(INR)
XXXXXXXXXXXX/33  2017-09-06  171626 </t>
  </si>
  <si>
    <t xml:space="preserve">AWB No. Gateway Port Gateway EGM No. Gateway EGM Date Gateway Site ID Error Code
N.A.  INMUN1  134919  2017-09-12 00:00:00.0  INMUN1  S </t>
  </si>
  <si>
    <t>2017/09/13</t>
  </si>
  <si>
    <t xml:space="preserve">IEC CHA No. Job No. Job Date Port of Discharge Total Package Gross Weight (Kg) FOB(INR) Total Cess (INR) Drawback STR Total (DBK+STR) CIN NO. CIN DT. Reward Flag
0514025026  ARPPK3328RCH001  6020998  13 SEP 2017 12:09  BDCGP  13  448  89182.5  0  1784  0  1784  N.A.  N.A.  Click here to view item wise reward details </t>
  </si>
  <si>
    <t xml:space="preserve">GSTIN    -    07AXXXXXXXXF1ZR
Invoice Number Invoice Date IGST Paid(INR)
XXXXXXXXXXXX057  2017-09-12  25270 </t>
  </si>
  <si>
    <t>2017/09/14</t>
  </si>
  <si>
    <t xml:space="preserve">IEC CHA No. Job No. Job Date Port of Discharge Total Package Gross Weight (Kg) FOB(INR) Total Cess (INR) Drawback STR Total (DBK+STR) CIN NO. CIN DT. Reward Flag
0506062538  AAQPP8189FCH001  6063792  14 SEP 2017 12:09  KWSWK  4  1847.2  451763.13  0  4731  0  4731  N.A.  N.A.  Click here to view item wise reward details </t>
  </si>
  <si>
    <t xml:space="preserve">Current Que LEO Date EP Copy Print Status DBK Scroll No Scroll Date EGM Integration Status
HIST  18 SEP 2017 00:09  Y  22137/2017  13 OCT 2017 00:10  Y </t>
  </si>
  <si>
    <t xml:space="preserve">EGM No. EGM Date Container No. Seal No. Error Message
R227902509  2017-9-25 0.0.0.0  HLXU4543158  403952  N.A. </t>
  </si>
  <si>
    <t xml:space="preserve">GSTIN    -    05AXXXXXXXXJ1ZY
Invoice Number Invoice Date IGST Paid(INR)
002  2017-09-12  81316 </t>
  </si>
  <si>
    <t xml:space="preserve">AWB No. Gateway Port Gateway EGM No. Gateway EGM Date Gateway Site ID Error Code
N.A.  INNSA1  135503  2017-09-21 00:00:00.0  INNSA1  C </t>
  </si>
  <si>
    <t xml:space="preserve">IEC CHA No. Job No. Job Date Port of Discharge Total Package Gross Weight (Kg) FOB(INR) Total Cess (INR) Drawback STR Total (DBK+STR) CIN NO. CIN DT. Reward Flag
0508075416  AVAPS6694RCH001  6065307  14 SEP 2017 12:09  CNSZX  40  1008.4  131387.96  0  0  0  0  N.A.  N.A.  Click here to view item wise reward details </t>
  </si>
  <si>
    <t xml:space="preserve">Current Que LEO Date EP Copy Print Status DBK Scroll No Scroll Date EGM Integration Status
HIST  16 SEP 2017 00:09  Y  N.A.  N.A.  Y </t>
  </si>
  <si>
    <t xml:space="preserve">EGM No. EGM Date Container No. Seal No. Error Message
R227902509  2017-9-25 0.0.0.0  BSIU3015188  403955  N.A. </t>
  </si>
  <si>
    <t xml:space="preserve">GSTIN    -    06AXXXXXXXXG1ZF
Invoice Number Invoice Date IGST Paid(INR)
XXXX508  2017-09-11  24898 </t>
  </si>
  <si>
    <t xml:space="preserve">AWB No. Gateway Port Gateway EGM No. Gateway EGM Date Gateway Site ID Error Code
N.A.  INNSA1  135603  2017-09-22 00:00:00.0  INNSA1  S </t>
  </si>
  <si>
    <t>2017/09/15</t>
  </si>
  <si>
    <t xml:space="preserve">IEC CHA No. Job No. Job Date Port of Discharge Total Package Gross Weight (Kg) FOB(INR) Total Cess (INR) Drawback STR Total (DBK+STR) CIN NO. CIN DT. Reward Flag
0504064011  AVAPS6694RCH001  6093141  15 SEP 2017 12:09  MMRGN  882  15492.4  1683614.61  0  33672  0  33672  N.A.  N.A.  Click here to view item wise reward details </t>
  </si>
  <si>
    <t xml:space="preserve">Current Que LEO Date EP Copy Print Status DBK Scroll No Scroll Date EGM Integration Status
HIST  20 SEP 2017 00:09  Y  22137/2017  13 OCT 2017 00:10  Y </t>
  </si>
  <si>
    <t xml:space="preserve">EGM No. EGM Date Container No. Seal No. Error Message
R367602309  2017-9-23 0.0.0.0  KKTU8256558  404113  N.A. </t>
  </si>
  <si>
    <t xml:space="preserve">GSTIN    -    07AXXXXXXXXR1ZX
Invoice Number Invoice Date IGST Paid(INR)
XXXXXXXX-17  2017-09-13  440882 </t>
  </si>
  <si>
    <t xml:space="preserve">AWB No. Gateway Port Gateway EGM No. Gateway EGM Date Gateway Site ID Error Code
N.A.  INMUN1  148326  2018-04-13 00:00:00.0  INMUN1  S </t>
  </si>
  <si>
    <t>2017/09/16</t>
  </si>
  <si>
    <t xml:space="preserve">IEC CHA No. Job No. Job Date Port of Discharge Total Package Gross Weight (Kg) FOB(INR) Total Cess (INR) Drawback STR Total (DBK+STR) CIN NO. CIN DT. Reward Flag
0503013749  AACCP0287DCH001  6103872  16 SEP 2017 12:09  UZTAS  80  2225  845291.98  0  0  0  0  N.A.  N.A.  Click here to view item wise reward details </t>
  </si>
  <si>
    <t xml:space="preserve">Current Que LEO Date EP Copy Print Status DBK Scroll No Scroll Date EGM Integration Status
HIST  03 OCT 2017 00:10  Y  N.A.  N.A.  Y </t>
  </si>
  <si>
    <t xml:space="preserve">EGM No. EGM Date Container No. Seal No. Error Message
R1667820810  2017-10-8 0.0.0.0  PCIU9157109  405628  N.A. </t>
  </si>
  <si>
    <t xml:space="preserve">GSTIN    -    07AXXXXXXXXR1ZG
Invoice Number Invoice Date IGST Paid(INR)
XXXXXXXXXXXXX-18  2017-09-15  243762 </t>
  </si>
  <si>
    <t xml:space="preserve">IEC CHA No. Job No. Job Date Port of Discharge Total Package Gross Weight (Kg) FOB(INR) Total Cess (INR) Drawback STR Total (DBK+STR) CIN NO. CIN DT. Reward Flag
0511035675  BWXPS5491PCH001  6115190  16 SEP 2017 12:09  ZAJNB  136  3453  878242.06  0  0  0  0  N.A.  N.A.  Click here to view item wise reward details </t>
  </si>
  <si>
    <t xml:space="preserve">Current Que LEO Date EP Copy Print Status DBK Scroll No Scroll Date EGM Integration Status
HIST  19 SEP 2017 00:09  Y  N.A.  N.A.  Y </t>
  </si>
  <si>
    <t xml:space="preserve">EGM No. EGM Date Container No. Seal No. Error Message
T507322809  2017-9-28 0.0.0.0  KKFU7110034  404820  N.A. </t>
  </si>
  <si>
    <t xml:space="preserve">GSTIN    -    07AXXXXXXXXK1ZN
Invoice Number Invoice Date IGST Paid(INR)
XXXXXXXXXXXXXX017  2017-07-20  245896 </t>
  </si>
  <si>
    <t xml:space="preserve">AWB No. Gateway Port Gateway EGM No. Gateway EGM Date Gateway Site ID Error Code
N.A.  INNSA1  135349  2017-09-19 00:00:00.0  INNSA1  C </t>
  </si>
  <si>
    <t xml:space="preserve">IEC CHA No. Job No. Job Date Port of Discharge Total Package Gross Weight (Kg) FOB(INR) Total Cess (INR) Drawback STR Total (DBK+STR) CIN NO. CIN DT. Reward Flag
0514036265  AAFCS0723ACH002  6117091  16 SEP 2017 12:09  GBFXT  210  3250  460178.54  0  6903  0  6903  N.A.  N.A.  Click here to view item wise reward details </t>
  </si>
  <si>
    <t xml:space="preserve">Current Que LEO Date EP Copy Print Status DBK Scroll No Scroll Date EGM Integration Status
HIST  21 SEP 2017 00:09  Y  22137/2017  13 OCT 2017 00:10  Y </t>
  </si>
  <si>
    <t xml:space="preserve">EGM No. EGM Date Container No. Seal No. Error Message
T987822409  2017-9-24 0.0.0.0  TGHU2668341  404194  N.A. </t>
  </si>
  <si>
    <t xml:space="preserve">GSTIN    -    07AXXXXXXXXE1ZC
Invoice Number Invoice Date IGST Paid(INR)
007  2017-09-15  90209 </t>
  </si>
  <si>
    <t xml:space="preserve">AWB No. Gateway Port Gateway EGM No. Gateway EGM Date Gateway Site ID Error Code
N.A.  INMUN1  135887  2017-09-27 00:00:00.0  INMUN1  S </t>
  </si>
  <si>
    <t>2017/09/19</t>
  </si>
  <si>
    <t xml:space="preserve">IEC CHA No. Job No. Job Date Port of Discharge Total Package Gross Weight (Kg) FOB(INR) Total Cess (INR) Drawback STR Total (DBK+STR) CIN NO. CIN DT. Reward Flag
0593067517  AHEPG6607LCH001  6159589  19 SEP 2017 12:09  KWSWK  650  6925  3279512.5  0  4853  0  4853  N.A.  N.A.  Click here to view item wise reward details </t>
  </si>
  <si>
    <t xml:space="preserve">Current Que LEO Date EP Copy Print Status DBK Scroll No Scroll Date EGM Integration Status
HIST  23 SEP 2017 00:09  Y  22137/2017  13 OCT 2017 00:10  Y </t>
  </si>
  <si>
    <t xml:space="preserve">EGM No. EGM Date Container No. Seal No. Error Message
T657202709  2017-9-27 0.0.0.0  TCKU3783810  404712  N.A. </t>
  </si>
  <si>
    <t xml:space="preserve">GSTIN    -    07AXXXXXXXXQ1ZV
Invoice Number Invoice Date IGST Paid(INR)
XXXXXXXX017  2017-09-18  168374 </t>
  </si>
  <si>
    <t xml:space="preserve">AWB No. Gateway Port Gateway EGM No. Gateway EGM Date Gateway Site ID Error Code
N.A.  INMUN1  136169  2017-10-03 00:00:00.0  INMUN1  S </t>
  </si>
  <si>
    <t xml:space="preserve">IEC CHA No. Job No. Job Date Port of Discharge Total Package Gross Weight (Kg) FOB(INR) Total Cess (INR) Drawback STR Total (DBK+STR) CIN NO. CIN DT. Reward Flag
0515076741  AEMPB3106JCH001  6161428  19 SEP 2017 12:09  GBLON  29  511  435906.6  0  31567  0  31567  N.A.  N.A.  Click here to view item wise reward details </t>
  </si>
  <si>
    <t xml:space="preserve">Current Que LEO Date EP Copy Print Status DBK Scroll No Scroll Date EGM Integration Status
HIST  21 SEP 2017 00:09  Y  22032/2017  06 OCT 2017 00:10  Y </t>
  </si>
  <si>
    <t xml:space="preserve">EGM No. EGM Date Container No. Seal No. Error Message
T257542209  2017-9-22 0.0.0.0  MSKU0286482  403929  N.A. </t>
  </si>
  <si>
    <t xml:space="preserve">ROSL Availed Amount(INR) Scroll Number Scroll Date
Y  14649  25835/2017  2017-10-15 0.0.0.0 </t>
  </si>
  <si>
    <t xml:space="preserve">GSTIN    -    06BXXXXXXXXM1ZI
Invoice Number Invoice Date IGST Paid(INR)
32  2017-09-19  21793 </t>
  </si>
  <si>
    <t xml:space="preserve">AWB No. Gateway Port Gateway EGM No. Gateway EGM Date Gateway Site ID Error Code
N.A.  INNSA1  134741  2017-09-08 00:00:00.0  INNSA1  S </t>
  </si>
  <si>
    <t xml:space="preserve">IEC CHA No. Job No. Job Date Port of Discharge Total Package Gross Weight (Kg) FOB(INR) Total Cess (INR) Drawback STR Total (DBK+STR) CIN NO. CIN DT. Reward Flag
0307055078  AKXPB2292ECH001  6162771  19 SEP 2017 12:09  SEGOT  8  1607  508055.63  0  2609  0  2609  N.A.  N.A.  Click here to view item wise reward details </t>
  </si>
  <si>
    <t xml:space="preserve">Current Que LEO Date EP Copy Print Status DBK Scroll No Scroll Date EGM Integration Status
HIST  22 SEP 2017 00:09  Y  22137/2017  13 OCT 2017 00:10  Y </t>
  </si>
  <si>
    <t xml:space="preserve">EGM No. EGM Date Container No. Seal No. Error Message
R627583009  2017-9-30 0.0.0.0  WHLU5123143  404839  N.A. </t>
  </si>
  <si>
    <t xml:space="preserve">GSTIN    -    27AXXXXXXXXA1ZR
Invoice Number Invoice Date IGST Paid(INR)
X505  2017-09-14  43054 </t>
  </si>
  <si>
    <t xml:space="preserve">AWB No. Gateway Port Gateway EGM No. Gateway EGM Date Gateway Site ID Error Code
N.A.  INNSA1  136236  2017-10-04 00:00:00.0  INNSA1  C </t>
  </si>
  <si>
    <t xml:space="preserve">IEC CHA No. Job No. Job Date Port of Discharge Total Package Gross Weight (Kg) FOB(INR) Total Cess (INR) Drawback STR Total (DBK+STR) CIN NO. CIN DT. Reward Flag
0598005536  AMJPS3049QCH001  6162967  19 SEP 2017 12:09  ZAPLZ  35  900  320266.38  0  4804  0  4804  N.A.  N.A.  Click here to view item wise reward details </t>
  </si>
  <si>
    <t xml:space="preserve">Current Que LEO Date EP Copy Print Status DBK Scroll No Scroll Date EGM Integration Status
HIST  23 SEP 2017 00:09  Y  22260/2017  24 OCT 2017 00:10  Y </t>
  </si>
  <si>
    <t xml:space="preserve">EGM No. EGM Date Container No. Seal No. Error Message
R1417663009  2017-9-30 0.0.0.0  MSCU3996447  404832  N.A. </t>
  </si>
  <si>
    <t xml:space="preserve">GSTIN    -    06AXXXXXXXXK1ZT
Invoice Number Invoice Date IGST Paid(INR)
XXXXXXX-18  2017-09-11  57646 </t>
  </si>
  <si>
    <t xml:space="preserve">AWB No. Gateway Port Gateway EGM No. Gateway EGM Date Gateway Site ID Error Code
N.A.  INMUN1  136501  2017-10-08 00:00:00.0  INMUN1  S </t>
  </si>
  <si>
    <t>2017/09/20</t>
  </si>
  <si>
    <t xml:space="preserve">IEC CHA No. Job No. Job Date Port of Discharge Total Package Gross Weight (Kg) FOB(INR) Total Cess (INR) Drawback STR Total (DBK+STR) CIN NO. CIN DT. Reward Flag
0501045813  AACCC6225CCH001  6187499  20 SEP 2017 12:09  AEAUH  4  320  194985.6  0  0  0  0  N.A.  N.A.  Click here to view item wise reward details </t>
  </si>
  <si>
    <t xml:space="preserve">Current Que LEO Date EP Copy Print Status DBK Scroll No Scroll Date EGM Integration Status
HIST  25 SEP 2017 00:09  Y  N.A.  N.A.  Y </t>
  </si>
  <si>
    <t xml:space="preserve">EGM No. EGM Date Container No. Seal No. Error Message
R1287020910  2017-10-9 0.0.0.0  WHLU5190049  406519  N.A. </t>
  </si>
  <si>
    <t xml:space="preserve">GSTIN    -    07AXXXXXXXXM2ZO
Invoice Number Invoice Date IGST Paid(INR)
002  2017-09-18  35097 </t>
  </si>
  <si>
    <t xml:space="preserve">AWB No. Gateway Port Gateway EGM No. Gateway EGM Date Gateway Site ID Error Code
N.A.  INNSA1  136144  2017-10-03 00:00:00.0  INNSA1  C </t>
  </si>
  <si>
    <t xml:space="preserve">IEC CHA No. Job No. Job Date Port of Discharge Total Package Gross Weight (Kg) FOB(INR) Total Cess (INR) Drawback STR Total (DBK+STR) CIN NO. CIN DT. Reward Flag
1216900370  AAECA9987BCH004  6195467  20 SEP 2017 12:09  AEJEA  4  6400  1220725  0  24415  0  24415  N.A.  N.A.  Click here to view item wise reward details </t>
  </si>
  <si>
    <t xml:space="preserve">Current Que LEO Date EP Copy Print Status DBK Scroll No Scroll Date EGM Integration Status
HIST  23 SEP 2017 00:09  Y  22528/2017  10 NOV 2017 00:11  Y </t>
  </si>
  <si>
    <t xml:space="preserve">EGM No. EGM Date Container No. Seal No. Error Message
R687402909  2017-9-29 0.0.0.0  ETEU8125022  404528  N.A. </t>
  </si>
  <si>
    <t xml:space="preserve">GSTIN    -    03AXXXXXXXXQ1Z4
Invoice Number Invoice Date IGST Paid(INR)
XXXXXXXXX-18  2017-09-18  210622 </t>
  </si>
  <si>
    <t xml:space="preserve">IEC CHA No. Job No. Job Date Port of Discharge Total Package Gross Weight (Kg) FOB(INR) Total Cess (INR) Drawback STR Total (DBK+STR) CIN NO. CIN DT. Reward Flag
0517500531  CUZPS3942QCH001  6196554  20 SEP 2017 12:09  THBKK  19  1645.5  1382961.25  0  3719  0  3719  N.A.  N.A.  Click here to view item wise reward details </t>
  </si>
  <si>
    <t xml:space="preserve">Current Que LEO Date EP Copy Print Status DBK Scroll No Scroll Date EGM Integration Status
HIST  25 SEP 2017 00:09  Y  22260/2017  24 OCT 2017 00:10  Y </t>
  </si>
  <si>
    <t xml:space="preserve">EGM No. EGM Date Container No. Seal No. Error Message
R1667180410  2017-10-4 0.0.0.0  GESU3267295  404881  N.A. </t>
  </si>
  <si>
    <t xml:space="preserve">GSTIN    -    07BXXXXXXXXQ1Z9
Invoice Number Invoice Date IGST Paid(INR)
XXXXXXX163  2017-09-20  248932 </t>
  </si>
  <si>
    <t>2017/09/21</t>
  </si>
  <si>
    <t xml:space="preserve">IEC CHA No. Job No. Job Date Port of Discharge Total Package Gross Weight (Kg) FOB(INR) Total Cess (INR) Drawback STR Total (DBK+STR) CIN NO. CIN DT. Reward Flag
0508003300  AHDPK8975CCH001  6207489  21 SEP 2017 12:09  QADOH  13  3455  636421.5  0  12728  0  12728  N.A.  N.A.  Click here to view item wise reward details </t>
  </si>
  <si>
    <t xml:space="preserve">Current Que LEO Date EP Copy Print Status DBK Scroll No Scroll Date EGM Integration Status
HIST  22 SEP 2017 00:09  Y  22374/2017  31 OCT 2017 00:10  Y </t>
  </si>
  <si>
    <t xml:space="preserve">EGM No. EGM Date Container No. Seal No. Error Message
R957122609  2017-9-26 0.0.0.0  CAXU9027937  403976  N.A. </t>
  </si>
  <si>
    <t xml:space="preserve">GSTIN    -    06AXXXXXXXXH1ZO
Invoice Number Invoice Date IGST Paid(INR)
XXXXXXXXXXXX-18  2017-09-13  114555 </t>
  </si>
  <si>
    <t xml:space="preserve">AWB No. Gateway Port Gateway EGM No. Gateway EGM Date Gateway Site ID Error Code
N.A.  INNSA1  135731  2017-09-25 00:00:00.0  INNSA1  S </t>
  </si>
  <si>
    <t xml:space="preserve">IEC CHA No. Job No. Job Date Port of Discharge Total Package Gross Weight (Kg) FOB(INR) Total Cess (INR) Drawback STR Total (DBK+STR) CIN NO. CIN DT. Reward Flag
0397084901  AAACU5306LCH002  6209700  21 SEP 2017 12:09  TZDAR  40  912.927  372289.5  0  0  0  0  N.A.  N.A.  Click here to view item wise reward details </t>
  </si>
  <si>
    <t xml:space="preserve">Current Que LEO Date EP Copy Print Status DBK Scroll No Scroll Date EGM Integration Status
HIST  26 SEP 2017 00:09  Y  N.A.  N.A.  Y </t>
  </si>
  <si>
    <t xml:space="preserve">EGM No. EGM Date Container No. Seal No. Error Message
R1317440610  2017-10-6 0.0.0.0  GESU3460468  405618  N.A. </t>
  </si>
  <si>
    <t xml:space="preserve">GSTIN    -    26AXXXXXXXXN2Z5
Invoice Number Invoice Date IGST Paid(INR)
XXXXXXXXXXX-08  2017-08-12  66584 </t>
  </si>
  <si>
    <t xml:space="preserve">AWB No. Gateway Port Gateway EGM No. Gateway EGM Date Gateway Site ID Error Code
N.A.  INNSA1  135726  2017-09-25 00:00:00.0  INNSA1  S </t>
  </si>
  <si>
    <t>2017/09/22</t>
  </si>
  <si>
    <t xml:space="preserve">IEC CHA No. Job No. Job Date Port of Discharge Total Package Gross Weight (Kg) FOB(INR) Total Cess (INR) Drawback STR Total (DBK+STR) CIN NO. CIN DT. Reward Flag
0595012647  AAACC6689ECH001  6242266  22 SEP 2017 12:09  PKKHI  457  7039  1926629.43  0  28899  0  28899  N.A.  N.A.  Click here to view item wise reward details </t>
  </si>
  <si>
    <t xml:space="preserve">Current Que LEO Date EP Copy Print Status DBK Scroll No Scroll Date EGM Integration Status
HIST  11 OCT 2017 00:10  Y  22374/2017  31 OCT 2017 00:10  Y </t>
  </si>
  <si>
    <t xml:space="preserve">EGM No. EGM Date Container No. Seal No. Error Message
R557581410  2017-10-14 0.0.0.0  SEGU4659588  407217  N.A. </t>
  </si>
  <si>
    <t xml:space="preserve">GSTIN    -    07AXXXXXXXXB1ZR
Invoice Number Invoice Date IGST Paid(INR)
XXXXXXXXX-18  2017-09-20  229557 </t>
  </si>
  <si>
    <t xml:space="preserve">AWB No. Gateway Port Gateway EGM No. Gateway EGM Date Gateway Site ID Error Code
N.A.  INMUN1  136070  2017-09-29 00:00:00.0  INMUN1  S </t>
  </si>
  <si>
    <t>2017/09/23</t>
  </si>
  <si>
    <t xml:space="preserve">IEC CHA No. Job No. Job Date Port of Discharge Total Package Gross Weight (Kg) FOB(INR) Total Cess (INR) Drawback STR Total (DBK+STR) CIN NO. CIN DT. Reward Flag
0504064754  FHMPS1058ECH001  6265937  23 SEP 2017 12:09  LKCMB  4  430  669477.45  0  13254  0  13254  N.A.  N.A.  Click here to view item wise reward details </t>
  </si>
  <si>
    <t xml:space="preserve">Current Que LEO Date EP Copy Print Status DBK Scroll No Scroll Date EGM Integration Status
HIST  27 SEP 2017 00:09  Y  22260/2017  24 OCT 2017 00:10  Y </t>
  </si>
  <si>
    <t xml:space="preserve">EGM No. EGM Date Container No. Seal No. Error Message
R577800810  2017-10-8 0.0.0.0  HDMU6805133  406508  N.A. </t>
  </si>
  <si>
    <t xml:space="preserve">GSTIN    -    09AXXXXXXXXP2ZF
Invoice Number Invoice Date IGST Paid(INR)
XXXXXXXXX/19  2017-09-20  33260 </t>
  </si>
  <si>
    <t xml:space="preserve">AWB No. Gateway Port Gateway EGM No. Gateway EGM Date Gateway Site ID Error Code
N.A.  INNSA1  135331  2017-09-19 00:00:00.0  INNSA1  S </t>
  </si>
  <si>
    <t xml:space="preserve">IEC CHA No. Job No. Job Date Port of Discharge Total Package Gross Weight (Kg) FOB(INR) Total Cess (INR) Drawback STR Total (DBK+STR) CIN NO. CIN DT. Reward Flag
0595012647  AAACC6689ECH001  6266212  23 SEP 2017 12:09  PKKHI  1558  24084  4723665.86  0  70855  0  70855  N.A.  N.A.  Click here to view item wise reward details </t>
  </si>
  <si>
    <t xml:space="preserve">Current Que LEO Date EP Copy Print Status DBK Scroll No Scroll Date EGM Integration Status
HIST  28 SEP 2017 00:09  Y  22137/2017  13 OCT 2017 00:10  Y </t>
  </si>
  <si>
    <t xml:space="preserve">EGM No. EGM Date Container No. Seal No. Error Message
R557720110  2017-10-1 0.0.0.0  BMOU6932354  001869  N.A. </t>
  </si>
  <si>
    <t xml:space="preserve">GSTIN    -    07AXXXXXXXXB1ZR
Invoice Number Invoice Date IGST Paid(INR)
XXXXXXXX-18  2017-09-22  562831 </t>
  </si>
  <si>
    <t xml:space="preserve">AWB No. Gateway Port Gateway EGM No. Gateway EGM Date Gateway Site ID Error Code
N.A.  INMUN1  134212  2017-08-30 00:00:00.0  INMUN1  S </t>
  </si>
  <si>
    <t>2017/09/25</t>
  </si>
  <si>
    <t xml:space="preserve">IEC CHA No. Job No. Job Date Port of Discharge Total Package Gross Weight (Kg) FOB(INR) Total Cess (INR) Drawback STR Total (DBK+STR) CIN NO. CIN DT. Reward Flag
3397001846  AACCP0287DCH001  6295756  25 SEP 2017 12:09  COBUN  58  3295.5  465626.62  0  6984  0  6984  N.A.  N.A.  Click here to view item wise reward details </t>
  </si>
  <si>
    <t xml:space="preserve">Current Que LEO Date EP Copy Print Status DBK Scroll No Scroll Date EGM Integration Status
HIST  28 SEP 2017 00:09  Y  22260/2017  24 OCT 2017 00:10  Y </t>
  </si>
  <si>
    <t xml:space="preserve">EGM No. EGM Date Container No. Seal No. Error Message
R1217640710  2017-10-7 0.0.0.0  MRKU6860723  406078  N.A. </t>
  </si>
  <si>
    <t xml:space="preserve">GSTIN    -    06AXXXXXXXXK1ZR
Invoice Number Invoice Date IGST Paid(INR)
XXXXXXXXXXXXXX-18  2017-09-21  56752 </t>
  </si>
  <si>
    <t xml:space="preserve">AWB No. Gateway Port Gateway EGM No. Gateway EGM Date Gateway Site ID Error Code
N.A.  INNSA1  134677  2017-09-07 00:00:00.0  INNSA1  S </t>
  </si>
  <si>
    <t xml:space="preserve">IEC CHA No. Job No. Job Date Port of Discharge Total Package Gross Weight (Kg) FOB(INR) Total Cess (INR) Drawback STR Total (DBK+STR) CIN NO. CIN DT. Reward Flag
3397001846  AACCP0287DCH001  6295879  25 SEP 2017 12:09  COBUN  60  3785.3  495278.97  0  7429  0  7429  N.A.  N.A.  Click here to view item wise reward details </t>
  </si>
  <si>
    <t xml:space="preserve">EGM No. EGM Date Container No. Seal No. Error Message
R1317440610  2017-10-6 0.0.0.0  MRKU6812849  406077  N.A. </t>
  </si>
  <si>
    <t xml:space="preserve">GSTIN    -    06AXXXXXXXXK1ZR
Invoice Number Invoice Date IGST Paid(INR)
XXXXXXXXXXXXXX-18  2017-09-15  59806 </t>
  </si>
  <si>
    <t>2017/09/26</t>
  </si>
  <si>
    <t xml:space="preserve">IEC CHA No. Job No. Job Date Port of Discharge Total Package Gross Weight (Kg) FOB(INR) Total Cess (INR) Drawback STR Total (DBK+STR) CIN NO. CIN DT. Reward Flag
0594048621  AASPK9028QCH001  6319139  26 SEP 2017 12:09  BEANR  15  1064  519395.84  0  43153  0  43153  N.A.  N.A.  Click here to view item wise reward details </t>
  </si>
  <si>
    <t xml:space="preserve">Current Que LEO Date EP Copy Print Status DBK Scroll No Scroll Date EGM Integration Status
HIST  29 SEP 2017 00:09  Y  22374/2017  31 OCT 2017 00:10  Y </t>
  </si>
  <si>
    <t xml:space="preserve">EGM No. EGM Date Container No. Seal No. Error Message
TX227401910  2017-10-19 0.0.0.0  CAXU3150029  407289  N.A. </t>
  </si>
  <si>
    <t xml:space="preserve">GSTIN    -    07AXXXXXXXXH1ZE
Invoice Number Invoice Date IGST Paid(INR)
XX-01  2017-09-25  81717 </t>
  </si>
  <si>
    <t xml:space="preserve">AWB No. Gateway Port Gateway EGM No. Gateway EGM Date Gateway Site ID Error Code
N.A.  INMUN1  135372  2017-09-19 00:00:00.0  INMUN1  S </t>
  </si>
  <si>
    <t xml:space="preserve">IEC CHA No. Job No. Job Date Port of Discharge Total Package Gross Weight (Kg) FOB(INR) Total Cess (INR) Drawback STR Total (DBK+STR) CIN NO. CIN DT. Reward Flag
DOOPK1147B  AJXPC1898GCH001  6330276  26 SEP 2017 12:09  AEJEA  53  901  4812968.16  0  471671  0  471671  N.A.  N.A.  Click here to view item wise reward details </t>
  </si>
  <si>
    <t xml:space="preserve">Current Que LEO Date EP Copy Print Status DBK Scroll No Scroll Date EGM Integration Status
HIST  29 SEP 2017 00:09  Y  22528/2017  10 NOV 2017 00:11  Y </t>
  </si>
  <si>
    <t xml:space="preserve">EGM No. EGM Date Container No. Seal No. Error Message
R977361210  2017-10-12 0.0.0.0  TGHU9620740  406014  N.A. </t>
  </si>
  <si>
    <t xml:space="preserve">ROSL Availed Amount(INR) Scroll Number Scroll Date
Y  129950  25851/2017  2017-11-10 0.0.0.0 </t>
  </si>
  <si>
    <t xml:space="preserve">GSTIN    -    07DXXXXXXXXB1Z5
Invoice Number Invoice Date IGST Paid(INR)
XXXXXXXXXXXX-18  2017-09-25  240648 </t>
  </si>
  <si>
    <t xml:space="preserve">AWB No. Gateway Port Gateway EGM No. Gateway EGM Date Gateway Site ID Error Code
N.A.  INMUN1  139832  2017-11-30 00:00:00.0  INMUN1  S </t>
  </si>
  <si>
    <t xml:space="preserve">IEC CHA No. Job No. Job Date Port of Discharge Total Package Gross Weight (Kg) FOB(INR) Total Cess (INR) Drawback STR Total (DBK+STR) CIN NO. CIN DT. Reward Flag
DOOPK1147B  AJXPC1898GCH001  6330279  26 SEP 2017 12:09  AEJEA  40  800  4973148.18  0  487369  0  487369  N.A.  N.A.  Click here to view item wise reward details </t>
  </si>
  <si>
    <t xml:space="preserve">ROSL Availed Amount(INR) Scroll Number Scroll Date
Y  134275  25851/2017  2017-11-10 0.0.0.0 </t>
  </si>
  <si>
    <t xml:space="preserve">GSTIN    -    07DXXXXXXXXB1Z5
Invoice Number Invoice Date IGST Paid(INR)
XXXXXXXXXXXX-18  2017-09-25  248657 </t>
  </si>
  <si>
    <t xml:space="preserve">IEC CHA No. Job No. Job Date Port of Discharge Total Package Gross Weight (Kg) FOB(INR) Total Cess (INR) Drawback STR Total (DBK+STR) CIN NO. CIN DT. Reward Flag
DOOPK1147B  AJXPC1898GCH001  6330311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</si>
  <si>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6330308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</si>
  <si>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6330314  26 SEP 2017 12:09  AEJEA  54  918  4903778.88  0  480570  0  480570  N.A.  N.A.  Click here to view item wise reward details </t>
  </si>
  <si>
    <t xml:space="preserve">ROSL Availed Amount(INR) Scroll Number Scroll Date
Y  132402  25851/2017  2017-11-10 0.0.0.0 </t>
  </si>
  <si>
    <t xml:space="preserve">GSTIN    -    07DXXXXXXXXB1Z5
Invoice Number Invoice Date IGST Paid(INR)
XXXXXXXXXXXX-18  2017-09-25  245188 </t>
  </si>
  <si>
    <t xml:space="preserve">IEC CHA No. Job No. Job Date Port of Discharge Total Package Gross Weight (Kg) FOB(INR) Total Cess (INR) Drawback STR Total (DBK+STR) CIN NO. CIN DT. Reward Flag
DOOPK1147B  AJXPC1898GCH001  6332056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</si>
  <si>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0510005021  AQBPK4529MCH001  6335318  26 SEP 2017 12:09  IDJKT  2  300  132432.3  0  0  0  0  N.A.  N.A.  Click here to view item wise reward details </t>
  </si>
  <si>
    <t xml:space="preserve">Current Que LEO Date EP Copy Print Status DBK Scroll No Scroll Date EGM Integration Status
HIST  04 OCT 2017 00:10  Y  N.A.  N.A.  Y </t>
  </si>
  <si>
    <t xml:space="preserve">EGM No. EGM Date Container No. Seal No. Error Message
R137720810  2017-10-8 0.0.0.0  CNSU2028217  405679  N.A. </t>
  </si>
  <si>
    <t xml:space="preserve">GSTIN    -    07AXXXXXXXXN1Z4
Invoice Number Invoice Date IGST Paid(INR)
XXXXXXXXXXXXX001  2017-09-12  36391 </t>
  </si>
  <si>
    <t xml:space="preserve">AWB No. Gateway Port Gateway EGM No. Gateway EGM Date Gateway Site ID Error Code
N.A.  INMUN1  137768  2017-10-28 00:00:00.0  INMUN1  S </t>
  </si>
  <si>
    <t>2017/09/27</t>
  </si>
  <si>
    <t xml:space="preserve">IEC CHA No. Job No. Job Date Port of Discharge Total Package Gross Weight (Kg) FOB(INR) Total Cess (INR) Drawback STR Total (DBK+STR) CIN NO. CIN DT. Reward Flag
0509035337  AAACT6486CCH003  6360604  27 SEP 2017 12:09  LKCMB  418  13886.7  1484685.84  0  21072  0  21072  N.A.  N.A.  Click here to view item wise reward details </t>
  </si>
  <si>
    <t xml:space="preserve">Current Que LEO Date EP Copy Print Status DBK Scroll No Scroll Date EGM Integration Status
HIST  04 OCT 2017 00:10  Y  22260/2017  24 OCT 2017 00:10  Y </t>
  </si>
  <si>
    <t xml:space="preserve">EGM No. EGM Date Container No. Seal No. Error Message
R1217640710  2017-10-7 0.0.0.0  WHLU2822403  406178  N.A. </t>
  </si>
  <si>
    <t xml:space="preserve">GSTIN    -    06AXXXXXXXXQ1Z8
Invoice Number Invoice Date IGST Paid(INR)
XXXXXXXXXXX-18  2017-09-26  183793 </t>
  </si>
  <si>
    <t xml:space="preserve">AWB No. Gateway Port Gateway EGM No. Gateway EGM Date Gateway Site ID Error Code
N.A.  INNSA1  136158  2017-10-03 00:00:00.0  INNSA1  S </t>
  </si>
  <si>
    <t xml:space="preserve">IEC CHA No. Job No. Job Date Port of Discharge Total Package Gross Weight (Kg) FOB(INR) Total Cess (INR) Drawback STR Total (DBK+STR) CIN NO. CIN DT. Reward Flag
0599059206  AQBPK4529MCH001  6365735  27 SEP 2017 12:09  MVMLE  2100  2130  901609.8  0  0  0  0  N.A.  N.A.  Click here to view item wise reward details </t>
  </si>
  <si>
    <t xml:space="preserve">EGM No. EGM Date Container No. Seal No. Error Message
T437260510  2017-10-5 0.0.0.0  TCNU4466055  000948  N.A. </t>
  </si>
  <si>
    <t xml:space="preserve">GSTIN    -    06AXXXXXXXXG1ZR
Invoice Number Invoice Date IGST Paid(INR)
XXXXXXX/07  2017-09-25  162289 </t>
  </si>
  <si>
    <t xml:space="preserve">AWB No. Gateway Port Gateway EGM No. Gateway EGM Date Gateway Site ID Error Code
N.A.  INMUN1  136519  2017-10-09 00:00:00.0  INMUN1  S </t>
  </si>
  <si>
    <t xml:space="preserve">IEC CHA No. Job No. Job Date Port of Discharge Total Package Gross Weight (Kg) FOB(INR) Total Cess (INR) Drawback STR Total (DBK+STR) CIN NO. CIN DT. Reward Flag
0599059206  AQBPK4529MCH001  6365733  27 SEP 2017 12:09  MVMLE  900  913  386404.2  0  0  0  0  N.A.  N.A.  Click here to view item wise reward details </t>
  </si>
  <si>
    <t xml:space="preserve">EGM No. EGM Date Container No. Seal No. Error Message
T897160410  2017-10-4 0.0.0.0  TCKU1990300  000949  N.A. </t>
  </si>
  <si>
    <t xml:space="preserve">GSTIN    -    06AXXXXXXXXG1ZR
Invoice Number Invoice Date IGST Paid(INR)
XXXXXXX/08  2017-09-25  69552 </t>
  </si>
  <si>
    <t>2017/09/28</t>
  </si>
  <si>
    <t xml:space="preserve">IEC CHA No. Job No. Job Date Port of Discharge Total Package Gross Weight (Kg) FOB(INR) Total Cess (INR) Drawback STR Total (DBK+STR) CIN NO. CIN DT. Reward Flag
0515036919  AARFS2414BCH002  6386402  28 SEP 2017 12:09  ILASH  228  3274.08  2636033.4  0  202975  0  202975  N.A.  N.A.  Click here to view item wise reward details </t>
  </si>
  <si>
    <t xml:space="preserve">Current Que LEO Date EP Copy Print Status DBK Scroll No Scroll Date EGM Integration Status
HIST  29 SEP 2017 00:09  Y  22260/2017  24 OCT 2017 00:10  Y </t>
  </si>
  <si>
    <t xml:space="preserve">EGM No. EGM Date Container No. Seal No. Error Message
R1287020910  2017-10-9 0.0.0.0  CCSU8593755  405692  N.A. </t>
  </si>
  <si>
    <t xml:space="preserve">ROSL Availed Amount(INR) Scroll Number Scroll Date
Y  86988  25844/2017  2017-10-31 0.0.0.0 </t>
  </si>
  <si>
    <t xml:space="preserve">GSTIN    -    09AXXXXXXXXB1ZQ
Invoice Number Invoice Date IGST Paid(INR)
XXXXXXXXXXXXX/16  2017-09-23  131799 </t>
  </si>
  <si>
    <t xml:space="preserve">AWB No. Gateway Port Gateway EGM No. Gateway EGM Date Gateway Site ID Error Code
N.A.  INNSA1  136238  2017-10-04 00:00:00.0  INNSA1  S </t>
  </si>
  <si>
    <t xml:space="preserve">IEC CHA No. Job No. Job Date Port of Discharge Total Package Gross Weight (Kg) FOB(INR) Total Cess (INR) Drawback STR Total (DBK+STR) CIN NO. CIN DT. Reward Flag
3104003254  AAACA3307KCH003  6386620  28 SEP 2017 12:09  ARBUE  1  8  158368.5  0  3167  0  3167  N.A.  N.A.  Click here to view item wise reward details </t>
  </si>
  <si>
    <t xml:space="preserve">Current Que LEO Date EP Copy Print Status DBK Scroll No Scroll Date EGM Integration Status
HIST  06 OCT 2017 00:10  Y  22374/2017  31 OCT 2017 00:10  Y </t>
  </si>
  <si>
    <t xml:space="preserve">EGM No. EGM Date Container No. Seal No. Error Message
T567481910  2017-10-19 0.0.0.0  NYKU4815253  407294  N.A. </t>
  </si>
  <si>
    <t xml:space="preserve">GSTIN    -    27AXXXXXXXXR1ZF
Invoice Number Invoice Date IGST Paid(INR)
XXXXXXXXXXXX-18  2017-09-22  17820 </t>
  </si>
  <si>
    <t xml:space="preserve">AWB No. Gateway Port Gateway EGM No. Gateway EGM Date Gateway Site ID Error Code
N.A.  INNSA1  136898  2017-10-13 00:00:00.0  INNSA1  S </t>
  </si>
  <si>
    <t xml:space="preserve">IEC CHA No. Job No. Job Date Port of Discharge Total Package Gross Weight (Kg) FOB(INR) Total Cess (INR) Drawback STR Total (DBK+STR) CIN NO. CIN DT. Reward Flag
0588079359  AAACU5306LCH002  6389738  28 SEP 2017 12:09  NOOSL  3  1168.5  303050.84  0  6061  0  6061  N.A.  N.A.  Click here to view item wise reward details </t>
  </si>
  <si>
    <t xml:space="preserve">Current Que LEO Date EP Copy Print Status DBK Scroll No Scroll Date EGM Integration Status
HIST  06 OCT 2017 00:10  Y  22260/2017  24 OCT 2017 00:10  Y </t>
  </si>
  <si>
    <t xml:space="preserve">EGM No. EGM Date Container No. Seal No. Error Message
R37161110  2017-10-11 0.0.0.0  WHLU5142863  406553  N.A. </t>
  </si>
  <si>
    <t xml:space="preserve">GSTIN    -    05AXXXXXXXXL3ZW
Invoice Number Invoice Date IGST Paid(INR)
XXXX228  2017-09-06  54545 </t>
  </si>
  <si>
    <t xml:space="preserve">IEC CHA No. Job No. Job Date Port of Discharge Total Package Gross Weight (Kg) FOB(INR) Total Cess (INR) Drawback STR Total (DBK+STR) CIN NO. CIN DT. Reward Flag
3104003254  AAACA3307KCH003  6391825  28 SEP 2017 12:09  ARBUE  1  47  757849.2  0  15157  0  15157  N.A.  N.A.  Click here to view item wise reward details </t>
  </si>
  <si>
    <t xml:space="preserve">Current Que LEO Date EP Copy Print Status DBK Scroll No Scroll Date EGM Integration Status
HIST  06 OCT 2017 00:10  Y  24432/2018  25 MAR 2018 00:03  Y </t>
  </si>
  <si>
    <t xml:space="preserve">GSTIN    -    27AXXXXXXXXR1ZF
Invoice Number Invoice Date IGST Paid(INR)
XXXXXXXXXXXX-18  2017-09-22  70092 </t>
  </si>
  <si>
    <t xml:space="preserve">IEC CHA No. Job No. Job Date Port of Discharge Total Package Gross Weight (Kg) FOB(INR) Total Cess (INR) Drawback STR Total (DBK+STR) CIN NO. CIN DT. Reward Flag
3104003254  AAACA3307KCH003  6392344  28 SEP 2017 12:09  ARBUE  4  142.4  1977449.4  0  39511  0  39511  N.A.  N.A.  Click here to view item wise reward details </t>
  </si>
  <si>
    <t xml:space="preserve">Current Que LEO Date EP Copy Print Status DBK Scroll No Scroll Date EGM Integration Status
HIST  09 OCT 2017 00:10  Y  22374/2017  31 OCT 2017 00:10  Y </t>
  </si>
  <si>
    <t xml:space="preserve">GSTIN    -    27AXXXXXXXXR1ZF
Invoice Number Invoice Date IGST Paid(INR)
XXXXXXXXXXXX-18  2017-09-22  152148 </t>
  </si>
  <si>
    <t xml:space="preserve">IEC CHA No. Job No. Job Date Port of Discharge Total Package Gross Weight (Kg) FOB(INR) Total Cess (INR) Drawback STR Total (DBK+STR) CIN NO. CIN DT. Reward Flag
3104003254  AAACA3307KCH003  6393025  28 SEP 2017 12:09  USNYC  6  298  374976.42  0  6682  0  6682  N.A.  N.A.  Click here to view item wise reward details </t>
  </si>
  <si>
    <t xml:space="preserve">EGM No. EGM Date Container No. Seal No. Error Message
J467261810  2017-10-18 0.0.0.0  TCNU6969193  407275  N.A. </t>
  </si>
  <si>
    <t xml:space="preserve">GSTIN    -    27AXXXXXXXXR1ZF
Invoice Number Invoice Date IGST Paid(INR)
XXXXXXXXXXXX-18  2017-09-19  35762 </t>
  </si>
  <si>
    <t xml:space="preserve">AWB No. Gateway Port Gateway EGM No. Gateway EGM Date Gateway Site ID Error Code
N.A.  INMUN1  135373  2017-09-19 00:00:00.0  INMUN1  S </t>
  </si>
  <si>
    <t>2017/09/29</t>
  </si>
  <si>
    <t xml:space="preserve">IEC CHA No. Job No. Job Date Port of Discharge Total Package Gross Weight (Kg) FOB(INR) Total Cess (INR) Drawback STR Total (DBK+STR) CIN NO. CIN DT. Reward Flag
0589053850  AALCS5528DCH001  6427013  29 SEP 2017 12:09  QADOH  5  2590  400321.38  0  8006  0  8006  N.A.  N.A.  Click here to view item wise reward details </t>
  </si>
  <si>
    <t xml:space="preserve">Current Que LEO Date EP Copy Print Status DBK Scroll No Scroll Date EGM Integration Status
HIST  04 OCT 2017 00:10  Y  22374/2017  31 OCT 2017 00:10  Y </t>
  </si>
  <si>
    <t xml:space="preserve">EGM No. EGM Date Container No. Seal No. Error Message
R297241810  2017-10-18 0.0.0.0  MRKU9663923  407271  N.A. </t>
  </si>
  <si>
    <t xml:space="preserve">GSTIN    -    06AXXXXXXXXM1ZZ
Invoice Number Invoice Date IGST Paid(INR)
053  2017-09-13  72054 </t>
  </si>
  <si>
    <t xml:space="preserve">AWB No. Gateway Port Gateway EGM No. Gateway EGM Date Gateway Site ID Error Code
N.A.  INNSA1  135755  2017-09-25 00:00:00.0  INNSA1  NC </t>
  </si>
  <si>
    <t xml:space="preserve">IEC CHA No. Job No. Job Date Port of Discharge Total Package Gross Weight (Kg) FOB(INR) Total Cess (INR) Drawback STR Total (DBK+STR) CIN NO. CIN DT. Reward Flag
0595012647  AAACC6689ECH001  6428046  29 SEP 2017 12:09  PKKHI  746  10619  3765676.46  0  56485  0  56485  N.A.  N.A.  Click here to view item wise reward details </t>
  </si>
  <si>
    <t xml:space="preserve">Current Que LEO Date EP Copy Print Status DBK Scroll No Scroll Date EGM Integration Status
HIST  10 OCT 2017 00:10  Y  22374/2017  31 OCT 2017 00:10  Y </t>
  </si>
  <si>
    <t xml:space="preserve">EGM No. EGM Date Container No. Seal No. Error Message
R1477041710  2017-10-17 0.0.0.0  BMOU6923100  406966  N.A. </t>
  </si>
  <si>
    <t xml:space="preserve">GSTIN    -    07AXXXXXXXXB1ZR
Invoice Number Invoice Date IGST Paid(INR)
XXXXXXXXX-18  2017-09-27  451879 </t>
  </si>
  <si>
    <t xml:space="preserve">AWB No. Gateway Port Gateway EGM No. Gateway EGM Date Gateway Site ID Error Code
N.A.  INMUN1  136071  2017-09-29 00:00:00.0  INMUN1  S </t>
  </si>
  <si>
    <t xml:space="preserve">IEC CHA No. Job No. Job Date Port of Discharge Total Package Gross Weight (Kg) FOB(INR) Total Cess (INR) Drawback STR Total (DBK+STR) CIN NO. CIN DT. Reward Flag
0595012647  AAACC6689ECH001  6430835  29 SEP 2017 12:09  PKKHI  833  8404  5375435.34  0  80632  0  80632  N.A.  N.A.  Click here to view item wise reward details </t>
  </si>
  <si>
    <t xml:space="preserve">GSTIN    -    07AXXXXXXXXB1ZR
Invoice Number Invoice Date IGST Paid(INR)
XXXXXXXXX-18  2017-09-27  645045 </t>
  </si>
  <si>
    <t xml:space="preserve">IEC CHA No. Job No. Job Date Port of Discharge Total Package Gross Weight (Kg) FOB(INR) Total Cess (INR) Drawback STR Total (DBK+STR) CIN NO. CIN DT. Reward Flag
2915001367  BEEPS0785MCH001  6437389  29 SEP 2017 12:09  MUPLU  61  630.32  394472.44  0  0  0  0  N.A.  N.A.  Click here to view item wise reward details </t>
  </si>
  <si>
    <t xml:space="preserve">EGM No. EGM Date Container No. Seal No. Error Message
R1287020910  2017-10-9 0.0.0.0  TCKU1325362  406513  N.A. </t>
  </si>
  <si>
    <t xml:space="preserve">GSTIN    -    09BXXXXXXXXA1ZM
Invoice Number Invoice Date IGST Paid(INR)
XXXXXXXXXXXXX/17  2017-09-09  24308 
XXXXXXXXXXXXX/17  2017-09-09  22685 </t>
  </si>
  <si>
    <t xml:space="preserve">AWB No. Gateway Port Gateway EGM No. Gateway EGM Date Gateway Site ID Error Code
N.A.  INNSA1  135119  2017-09-14 00:00:00.0  INNSA1  S </t>
  </si>
  <si>
    <t>2017/10/03</t>
  </si>
  <si>
    <t xml:space="preserve">IEC CHA No. Job No. Job Date Port of Discharge Total Package Gross Weight (Kg) FOB(INR) Total Cess (INR) Drawback STR Total (DBK+STR) CIN NO. CIN DT. Reward Flag
0598059113  AASPK9028QCH001  6461434  03 OCT 2017 12:10  AEJEA  845  10250  1383309.2  0  27666  0  27666  N.A.  N.A.  Click here to view item wise reward details </t>
  </si>
  <si>
    <t xml:space="preserve">Current Que LEO Date EP Copy Print Status DBK Scroll No Scroll Date EGM Integration Status
HIST  05 OCT 2017 00:10  Y  22260/2017  24 OCT 2017 00:10  Y </t>
  </si>
  <si>
    <t xml:space="preserve">EGM No. EGM Date Container No. Seal No. Error Message
R137720810  2017-10-8 0.0.0.0  BAXU2688364  406251  N.A. </t>
  </si>
  <si>
    <t xml:space="preserve">GSTIN    -    07AXXXXXXXXL1ZI
Invoice Number Invoice Date IGST Paid(INR)
XXXXXXXXXXXX/34  2017-09-21  165469 </t>
  </si>
  <si>
    <t xml:space="preserve">AWB No. Gateway Port Gateway EGM No. Gateway EGM Date Gateway Site ID Error Code
N.A.  INMUN1  136518  2017-10-09 00:00:00.0  INMUN1  S </t>
  </si>
  <si>
    <t xml:space="preserve">IEC CHA No. Job No. Job Date Port of Discharge Total Package Gross Weight (Kg) FOB(INR) Total Cess (INR) Drawback STR Total (DBK+STR) CIN NO. CIN DT. Reward Flag
0506012905  FHMPS1058ECH001  6485787  03 OCT 2017 12:10  MYPKG  236  23624.15  886195.04  0  0  0  0  N.A.  N.A.  Click here to view item wise reward details </t>
  </si>
  <si>
    <t xml:space="preserve">Current Que LEO Date EP Copy Print Status DBK Scroll No Scroll Date EGM Integration Status
HIST  05 OCT 2017 00:10  Y  N.A.  N.A.  Y </t>
  </si>
  <si>
    <t xml:space="preserve">EGM No. EGM Date Container No. Seal No. Error Message
R37161110  2017-10-11 0.0.0.0  GESU2985600  40629  N.A. </t>
  </si>
  <si>
    <t xml:space="preserve">GSTIN    -    07AXXXXXXXXP2Z7
Invoice Number Invoice Date IGST Paid(INR)
XXXXXXX002  2017-10-03  165318 </t>
  </si>
  <si>
    <t xml:space="preserve">AWB No. Gateway Port Gateway EGM No. Gateway EGM Date Gateway Site ID Error Code
N.A.  INNSA1  136163  2017-10-03 00:00:00.0  INNSA1  C </t>
  </si>
  <si>
    <t>2017/10/04</t>
  </si>
  <si>
    <t xml:space="preserve">IEC CHA No. Job No. Job Date Port of Discharge Total Package Gross Weight (Kg) FOB(INR) Total Cess (INR) Drawback STR Total (DBK+STR) CIN NO. CIN DT. Reward Flag
0504063227  AACCP0287DCH001  6504228  04 OCT 2017 12:10  THLCH  4  940  362593.14  0  7252  0  7252  N.A.  N.A.  Click here to view item wise reward details </t>
  </si>
  <si>
    <t xml:space="preserve">Current Que LEO Date EP Copy Print Status DBK Scroll No Scroll Date EGM Integration Status
HIST  07 OCT 2017 00:10  Y  22374/2017  31 OCT 2017 00:10  Y </t>
  </si>
  <si>
    <t xml:space="preserve">EGM No. EGM Date Container No. Seal No. Error Message
R867621410  2017-10-14 0.0.0.0  NYKU2797166  407212  N.A. </t>
  </si>
  <si>
    <t xml:space="preserve">GSTIN    -    06AXXXXXXXXQ1ZP
Invoice Number Invoice Date IGST Paid(INR)
XXXXXXXX/18  2017-09-28  65266 </t>
  </si>
  <si>
    <t xml:space="preserve">AWB No. Gateway Port Gateway EGM No. Gateway EGM Date Gateway Site ID Error Code
N.A.  INNSA1  135895  2017-09-27 00:00:00.0  INNSA1  S </t>
  </si>
  <si>
    <t xml:space="preserve">IEC CHA No. Job No. Job Date Port of Discharge Total Package Gross Weight (Kg) FOB(INR) Total Cess (INR) Drawback STR Total (DBK+STR) CIN NO. CIN DT. Reward Flag
0588024317  AACFS5709ACH001  6513403  04 OCT 2017 12:10  MUPLU  11  126.5  161777.62  0  0  0  0  N.A.  N.A.  Click here to view item wise reward details </t>
  </si>
  <si>
    <t xml:space="preserve">Current Que LEO Date EP Copy Print Status DBK Scroll No Scroll Date EGM Integration Status
HIST  09 OCT 2017 00:10  Y  N.A.  N.A.  Y </t>
  </si>
  <si>
    <t xml:space="preserve">EGM No. EGM Date Container No. Seal No. Error Message
R867621410  2017-10-14 0.0.0.0  GVCU5250627  407221  N.A. </t>
  </si>
  <si>
    <t xml:space="preserve">GSTIN    -    08AXXXXXXXXM1ZV
Invoice Number Invoice Date IGST Paid(INR)
XXXXXXXXXXXXXX/18  2017-10-03  19275 </t>
  </si>
  <si>
    <t xml:space="preserve">AWB No. Gateway Port Gateway EGM No. Gateway EGM Date Gateway Site ID Error Code
N.A.  INNSA1  135126  2017-09-14 00:00:00.0  INNSA1  S </t>
  </si>
  <si>
    <t>2017/10/05</t>
  </si>
  <si>
    <t xml:space="preserve">IEC CHA No. Job No. Job Date Port of Discharge Total Package Gross Weight (Kg) FOB(INR) Total Cess (INR) Drawback STR Total (DBK+STR) CIN NO. CIN DT. Reward Flag
0514085720  AADCJ6591KCH001  6527804  05 OCT 2017 12:10  AEJEA  73  28000  767266.5  0  0  0  0  N.A.  N.A.  Click here to view item wise reward details </t>
  </si>
  <si>
    <t xml:space="preserve">Current Que LEO Date EP Copy Print Status DBK Scroll No Scroll Date EGM Integration Status
HIST  07 OCT 2017 00:10  Y  N.A.  N.A.  Y </t>
  </si>
  <si>
    <t xml:space="preserve">EGM No. EGM Date Container No. Seal No. Error Message
R417321210  2017-10-12 0.0.0.0  GATU8593405  406813  N.A. </t>
  </si>
  <si>
    <t xml:space="preserve">GSTIN    -    07AXXXXXXXXA1ZT
Invoice Number Invoice Date IGST Paid(INR)
XXXXXXXXXXXXXEXP  2017-10-05  214834 </t>
  </si>
  <si>
    <t xml:space="preserve">AWB No. Gateway Port Gateway EGM No. Gateway EGM Date Gateway Site ID Error Code
N.A.  INNSA1  136252  2017-10-04 00:00:00.0  INNSA1  S </t>
  </si>
  <si>
    <t xml:space="preserve">IEC CHA No. Job No. Job Date Port of Discharge Total Package Gross Weight (Kg) FOB(INR) Total Cess (INR) Drawback STR Total (DBK+STR) CIN NO. CIN DT. Reward Flag
0514067969  AHVPD5199DCH001  6530682  05 OCT 2017 12:10  PKKHI  20  490  658658  0  762  0  762  N.A.  N.A.  Click here to view item wise reward details </t>
  </si>
  <si>
    <t xml:space="preserve">EGM No. EGM Date Container No. Seal No. Error Message
T977721510  2017-10-15 0.0.0.0  PCIU8176974  406590  N.A. </t>
  </si>
  <si>
    <t xml:space="preserve">GSTIN    -    09AXXXXXXXXA1Z1
Invoice Number Invoice Date IGST Paid(INR)
XXXXX4/B  2017-10-03  97398 </t>
  </si>
  <si>
    <t xml:space="preserve">AWB No. Gateway Port Gateway EGM No. Gateway EGM Date Gateway Site ID Error Code
N.A.  INNSA1  137096  2017-10-17 00:00:00.0  INNSA1  C </t>
  </si>
  <si>
    <t xml:space="preserve">IEC CHA No. Job No. Job Date Port of Discharge Total Package Gross Weight (Kg) FOB(INR) Total Cess (INR) Drawback STR Total (DBK+STR) CIN NO. CIN DT. Reward Flag
0516502123  AAUPY4535CCH001  6535528  05 OCT 2017 12:10  TNRDS  2  4000  955500  0  19110  0  19110  N.A.  N.A.  Click here to view item wise reward details </t>
  </si>
  <si>
    <t xml:space="preserve">EGM No. EGM Date Container No. Seal No. Error Message
R977361210  2017-10-12 0.0.0.0  APZU2129906  406657  N.A. </t>
  </si>
  <si>
    <t xml:space="preserve">GSTIN    -    07AXXXXXXXXL1ZM
Invoice Number Invoice Date IGST Paid(INR)
XXXXXX/17  2017-10-04  171989 </t>
  </si>
  <si>
    <t xml:space="preserve">AWB No. Gateway Port Gateway EGM No. Gateway EGM Date Gateway Site ID Error Code
N.A.  INMUN1  140361  2017-12-08 00:00:00.0  INMUN1  S </t>
  </si>
  <si>
    <t xml:space="preserve">IEC CHA No. Job No. Job Date Port of Discharge Total Package Gross Weight (Kg) FOB(INR) Total Cess (INR) Drawback STR Total (DBK+STR) CIN NO. CIN DT. Reward Flag
0588128180  ARPPK3328RCH001  6538656  05 OCT 2017 12:10  KMLOG  535  16365  3231761.5  0  31879  0  31879  N.A.  N.A.  Click here to view item wise reward details </t>
  </si>
  <si>
    <t xml:space="preserve">EGM No. EGM Date Container No. Seal No. Error Message
R587241110  2017-10-11 0.0.0.0  GLDU5661534  406447  N.A. </t>
  </si>
  <si>
    <t xml:space="preserve">GSTIN    -    07AXXXXXXXXJ1Z1
Invoice Number Invoice Date IGST Paid(INR)
XXXXXXXX/17  2017-10-03  9714 </t>
  </si>
  <si>
    <t xml:space="preserve">AWB No. Gateway Port Gateway EGM No. Gateway EGM Date Gateway Site ID Error Code
N.A.  INMUN1  136910  2017-10-13 00:00:00.0  INMUN1  S </t>
  </si>
  <si>
    <t xml:space="preserve">IEC CHA No. Job No. Job Date Port of Discharge Total Package Gross Weight (Kg) FOB(INR) Total Cess (INR) Drawback STR Total (DBK+STR) CIN NO. CIN DT. Reward Flag
0501061428  AHVPD5199DCH001  6541004  05 OCT 2017 12:10  MVMLE  1  104  308180.6  0  3082  0  3082  N.A.  N.A.  Click here to view item wise reward details </t>
  </si>
  <si>
    <t xml:space="preserve">EGM No. EGM Date Container No. Seal No. Error Message
R867621410  2017-10-14 0.0.0.0  CAIU7480618  407224  N.A. </t>
  </si>
  <si>
    <t xml:space="preserve">GSTIN    -    06AXXXXXXXXB1ZO
Invoice Number Invoice Date IGST Paid(INR)
074  2017-10-05  57708 </t>
  </si>
  <si>
    <t>2017/10/06</t>
  </si>
  <si>
    <t xml:space="preserve">IEC CHA No. Job No. Job Date Port of Discharge Total Package Gross Weight (Kg) FOB(INR) Total Cess (INR) Drawback STR Total (DBK+STR) CIN NO. CIN DT. Reward Flag
0507023722  AANPA2304GCH001  6566885  06 OCT 2017 12:10  LKCMB  40  1010  273918  0  0  0  0  N.A.  N.A.  Click here to view item wise reward details </t>
  </si>
  <si>
    <t xml:space="preserve">GSTIN    -    07AXXXXXXXXB1ZM
Invoice Number Invoice Date IGST Paid(INR)
XXXXXXXXXX/07  2017-10-06  49303 </t>
  </si>
  <si>
    <t xml:space="preserve">IEC CHA No. Job No. Job Date Port of Discharge Total Package Gross Weight (Kg) FOB(INR) Total Cess (INR) Drawback STR Total (DBK+STR) CIN NO. CIN DT. Reward Flag
0500003491  BEEPS0785MCH001  6576288  06 OCT 2017 12:10  GBLON  34  686  327930  0  0  0  0  N.A.  N.A.  Click here to view item wise reward details </t>
  </si>
  <si>
    <t xml:space="preserve">Current Que LEO Date EP Copy Print Status DBK Scroll No Scroll Date EGM Integration Status
HIST  12 OCT 2017 00:10  Y  N.A.  N.A.  Y </t>
  </si>
  <si>
    <t xml:space="preserve">EGM No. EGM Date Container No. Seal No. Error Message
R157782210  2017-10-22 0.0.0.0  MRKU5061888  407765  N.A. </t>
  </si>
  <si>
    <t xml:space="preserve">GSTIN    -    09AXXXXXXXXH1ZU
Invoice Number Invoice Date IGST Paid(INR)
XXXXXXXXXXXXX-18  2017-10-06  39351 </t>
  </si>
  <si>
    <t xml:space="preserve">AWB No. Gateway Port Gateway EGM No. Gateway EGM Date Gateway Site ID Error Code
N.A.  INMUN1  138865  2017-11-15 00:00:00.0  INMUN1  S </t>
  </si>
  <si>
    <t>2017/10/07</t>
  </si>
  <si>
    <t xml:space="preserve">IEC CHA No. Job No. Job Date Port of Discharge Total Package Gross Weight (Kg) FOB(INR) Total Cess (INR) Drawback STR Total (DBK+STR) CIN NO. CIN DT. Reward Flag
0314004173  AEKPR9484FCH001  6582548  07 OCT 2017 12:10  LKCMB  2  2131  192900  0  2122  0  2122  N.A.  N.A.  Click here to view item wise reward details </t>
  </si>
  <si>
    <t xml:space="preserve">EGM No. EGM Date Container No. Seal No. Error Message
R957461310  2017-10-13 0.0.0.0  AMFU8533571  407208  N.A. </t>
  </si>
  <si>
    <t xml:space="preserve">GSTIN    -    27AXXXXXXXXG1ZA
Invoice Number Invoice Date IGST Paid(INR)
XXXXXXXXXXXXX8/A  2017-10-06  40207 </t>
  </si>
  <si>
    <t xml:space="preserve">AWB No. Gateway Port Gateway EGM No. Gateway EGM Date Gateway Site ID Error Code
N.A.  INNSA1  137147  2017-10-18 00:00:00.0  INNSA1  S </t>
  </si>
  <si>
    <t xml:space="preserve">IEC CHA No. Job No. Job Date Port of Discharge Total Package Gross Weight (Kg) FOB(INR) Total Cess (INR) Drawback STR Total (DBK+STR) CIN NO. CIN DT. Reward Flag
0509025765  AACCA2655GCH002  6583650  07 OCT 2017 12:10  MUPLU  4  522.99  214888  0  0  0  0  N.A.  N.A.  Click here to view item wise reward details </t>
  </si>
  <si>
    <t xml:space="preserve">EGM No. EGM Date Container No. Seal No. Error Message
R887682110  2017-10-21 0.0.0.0  GLDU0850350  407702  N.A. </t>
  </si>
  <si>
    <t xml:space="preserve">GSTIN    -    07AXXXXXXXXP1Z3
Invoice Number Invoice Date IGST Paid(INR)
XXXXXXX012  2017-10-06  60167 </t>
  </si>
  <si>
    <t xml:space="preserve">AWB No. Gateway Port Gateway EGM No. Gateway EGM Date Gateway Site ID Error Code
N.A.  INNSA1  136648  2017-10-10 00:00:00.0  INNSA1  C </t>
  </si>
  <si>
    <t xml:space="preserve">IEC CHA No. Job No. Job Date Port of Discharge Total Package Gross Weight (Kg) FOB(INR) Total Cess (INR) Drawback STR Total (DBK+STR) CIN NO. CIN DT. Reward Flag
0505007592  AEOPA9390KCH001  6597444  07 OCT 2017 12:10  AEDXB  7  3680  2039403.1  0  40788  0  40788  N.A.  N.A.  Click here to view item wise reward details </t>
  </si>
  <si>
    <t xml:space="preserve">EGM No. EGM Date Container No. Seal No. Error Message
R867621410  2017-10-14 0.0.0.0  TCNU8961632  406571  N.A. </t>
  </si>
  <si>
    <t xml:space="preserve">GSTIN    -    06AXXXXXXXXK1ZF
Invoice Number Invoice Date IGST Paid(INR)
XXXXXXXXXX-18  2017-10-06  367088 </t>
  </si>
  <si>
    <t xml:space="preserve">AWB No. Gateway Port Gateway EGM No. Gateway EGM Date Gateway Site ID Error Code
N.A.  INNSA1  136123  2017-10-02 00:00:00.0  INNSA1  S </t>
  </si>
  <si>
    <t>2017/10/09</t>
  </si>
  <si>
    <t xml:space="preserve">IEC CHA No. Job No. Job Date Port of Discharge Total Package Gross Weight (Kg) FOB(INR) Total Cess (INR) Drawback STR Total (DBK+STR) CIN NO. CIN DT. Reward Flag
0511034661  AABCC8115GCH002  6608520  09 OCT 2017 12:10  AEJEA  41  495  838767.78  0  0  0  0  N.A.  N.A.  Click here to view item wise reward details </t>
  </si>
  <si>
    <t xml:space="preserve">Current Que LEO Date EP Copy Print Status DBK Scroll No Scroll Date EGM Integration Status
HIST  10 OCT 2017 00:10  Y  N.A.  N.A.  Y </t>
  </si>
  <si>
    <t xml:space="preserve">EGM No. EGM Date Container No. Seal No. Error Message
R867621410  2017-10-14 0.0.0.0  BAXU5056052  407207  N.A. </t>
  </si>
  <si>
    <t xml:space="preserve">GSTIN    -    07AXXXXXXXXL1ZH
Invoice Number Invoice Date IGST Paid(INR)
007  2017-10-07  25138 </t>
  </si>
  <si>
    <t xml:space="preserve">AWB No. Gateway Port Gateway EGM No. Gateway EGM Date Gateway Site ID Error Code
N.A.  INNSA1  136151  2017-10-03 00:00:00.0  INNSA1  S </t>
  </si>
  <si>
    <t>2017/10/10</t>
  </si>
  <si>
    <t xml:space="preserve">IEC CHA No. Job No. Job Date Port of Discharge Total Package Gross Weight (Kg) FOB(INR) Total Cess (INR) Drawback STR Total (DBK+STR) CIN NO. CIN DT. Reward Flag
0510012680  AAACE2762JCH001  6654204  10 OCT 2017 12:10  GYGEO  5  88.6  39224.93  0  0  0  0  N.A.  N.A.  Click here to view item wise reward details </t>
  </si>
  <si>
    <t xml:space="preserve">Current Que LEO Date EP Copy Print Status DBK Scroll No Scroll Date EGM Integration Status
HIST  16 OCT 2017 00:10  Y  N.A.  N.A.  Y </t>
  </si>
  <si>
    <t xml:space="preserve">EGM No. EGM Date Container No. Seal No. Error Message
T907562710  2017-10-27 0.0.0.0  TCNU6623955  408335  N.A. </t>
  </si>
  <si>
    <t xml:space="preserve">GSTIN    -    07AXXXXXXXXK1ZE
Invoice Number Invoice Date IGST Paid(INR)
XXXXX8-A  2017-10-10  5771 </t>
  </si>
  <si>
    <t xml:space="preserve">AWB No. Gateway Port Gateway EGM No. Gateway EGM Date Gateway Site ID Error Code
N.A.  INNSA1  136204  2017-10-03 00:00:00.0  INNSA1  S </t>
  </si>
  <si>
    <t>2017/10/11</t>
  </si>
  <si>
    <t xml:space="preserve">IEC CHA No. Job No. Job Date Port of Discharge Total Package Gross Weight (Kg) FOB(INR) Total Cess (INR) Drawback STR Total (DBK+STR) CIN NO. CIN DT. Reward Flag
0512084262  AOWPS6493KCH001  6663590  11 OCT 2017 12:10  THBKK  1  405.74  120806.84  0  2416  0  2416  N.A.  N.A.  Click here to view item wise reward details </t>
  </si>
  <si>
    <t xml:space="preserve">Current Que LEO Date EP Copy Print Status DBK Scroll No Scroll Date EGM Integration Status
HIST  12 OCT 2017 00:10  Y  22374/2017  31 OCT 2017 00:10  Y </t>
  </si>
  <si>
    <t xml:space="preserve">EGM No. EGM Date Container No. Seal No. Error Message
R687802210  2017-10-22 0.0.0.0  VSTU9000208  407755  N.A. </t>
  </si>
  <si>
    <t xml:space="preserve">GSTIN    -    06AXXXXXXXXM1ZQ
Invoice Number Invoice Date IGST Paid(INR)
XXXXXX-18  2017-10-04  21744 </t>
  </si>
  <si>
    <t xml:space="preserve">AWB No. Gateway Port Gateway EGM No. Gateway EGM Date Gateway Site ID Error Code
N.A.  INNSA1  136637  2017-10-10 00:00:00.0  INNSA1  C </t>
  </si>
  <si>
    <t xml:space="preserve">IEC CHA No. Job No. Job Date Port of Discharge Total Package Gross Weight (Kg) FOB(INR) Total Cess (INR) Drawback STR Total (DBK+STR) CIN NO. CIN DT. Reward Flag
0591032163  AAGCS0053ECH003  6677704  11 OCT 2017 12:10  AEJEA  273  4703  670330.07  0  10055  0  10055  N.A.  N.A.  Click here to view item wise reward details </t>
  </si>
  <si>
    <t xml:space="preserve">Current Que LEO Date EP Copy Print Status DBK Scroll No Scroll Date EGM Integration Status
HIST  13 OCT 2017 00:10  Y  22374/2017  31 OCT 2017 00:10  Y </t>
  </si>
  <si>
    <t xml:space="preserve">EGM No. EGM Date Container No. Seal No. Error Message
R867621410  2017-10-14 0.0.0.0  RFSU2005740  407192  N.A. </t>
  </si>
  <si>
    <t xml:space="preserve">GSTIN    -    09AXXXXXXXXH1ZE
Invoice Number Invoice Date IGST Paid(INR)
XXXXXXXXXX113  2017-10-10  54671 </t>
  </si>
  <si>
    <t xml:space="preserve">IEC CHA No. Job No. Job Date Port of Discharge Total Package Gross Weight (Kg) FOB(INR) Total Cess (INR) Drawback STR Total (DBK+STR) CIN NO. CIN DT. Reward Flag
0592023052  AASPK9028QCH001  6678324  11 OCT 2017 12:10  THLCH  12  6528  699856.63  0  13997  0  13997  N.A.  N.A.  Click here to view item wise reward details </t>
  </si>
  <si>
    <t xml:space="preserve">Current Que LEO Date EP Copy Print Status DBK Scroll No Scroll Date EGM Integration Status
HIST  13 OCT 2017 00:10  Y  22528/2017  10 NOV 2017 00:11  Y </t>
  </si>
  <si>
    <t xml:space="preserve">EGM No. EGM Date Container No. Seal No. Error Message
R917360111  2017-11-1 0.0.0.0  CAXU9973575  408924  N.A. </t>
  </si>
  <si>
    <t xml:space="preserve">GSTIN    -    06AXXXXXXXXE1ZX
Invoice Number Invoice Date IGST Paid(INR)
XXXXXXXXX032  2017-10-11  195960 </t>
  </si>
  <si>
    <t xml:space="preserve">AWB No. Gateway Port Gateway EGM No. Gateway EGM Date Gateway Site ID Error Code
N.A.  INNSA1  138138  2017-11-03 00:00:00.0  INNSA1  C </t>
  </si>
  <si>
    <t>2017/10/12</t>
  </si>
  <si>
    <t xml:space="preserve">IEC CHA No. Job No. Job Date Port of Discharge Total Package Gross Weight (Kg) FOB(INR) Total Cess (INR) Drawback STR Total (DBK+STR) CIN NO. CIN DT. Reward Flag
0511026242  AABCC8115GCH002  6687552  12 OCT 2017 12:10  LKCMB  10  262  321500  0  3215  0  3215  N.A.  N.A.  Click here to view item wise reward details </t>
  </si>
  <si>
    <t xml:space="preserve">Current Que LEO Date EP Copy Print Status DBK Scroll No Scroll Date EGM Integration Status
HIST  16 OCT 2017 00:10  Y  22374/2017  31 OCT 2017 00:10  Y </t>
  </si>
  <si>
    <t xml:space="preserve">EGM No. EGM Date Container No. Seal No. Error Message
J207942310  2017-10-23 0.0.0.0  DFSU6802732  407794  N.A. </t>
  </si>
  <si>
    <t xml:space="preserve">GSTIN    -    06AXXXXXXXXN1Z9
Invoice Number Invoice Date IGST Paid(INR)
XXXXXXXX-18  2017-10-11  57636 </t>
  </si>
  <si>
    <t xml:space="preserve">IEC CHA No. Job No. Job Date Port of Discharge Total Package Gross Weight (Kg) FOB(INR) Total Cess (INR) Drawback STR Total (DBK+STR) CIN NO. CIN DT. Reward Flag
0505000873  AOWPS6493KCH001  6699454  12 OCT 2017 12:10  MYPKG  5  3692  903209.24  0  18064  0  18064  N.A.  N.A.  Click here to view item wise reward details </t>
  </si>
  <si>
    <t xml:space="preserve">Current Que LEO Date EP Copy Print Status DBK Scroll No Scroll Date EGM Integration Status
HIST  17 OCT 2017 00:10  Y  22374/2017  31 OCT 2017 00:10  Y </t>
  </si>
  <si>
    <t xml:space="preserve">EGM No. EGM Date Container No. Seal No. Error Message
R157782210  2017-10-22 0.0.0.0  NYKU4430478  407751  N.A. </t>
  </si>
  <si>
    <t xml:space="preserve">GSTIN    -    07AXXXXXXXXB1ZS
Invoice Number Invoice Date IGST Paid(INR)
XXXXXXX017  2017-10-09  87378 </t>
  </si>
  <si>
    <t xml:space="preserve">AWB No. Gateway Port Gateway EGM No. Gateway EGM Date Gateway Site ID Error Code
N.A.  INPAV1  137330  2017-10-23 00:00:00.0  INPAV1  S </t>
  </si>
  <si>
    <t>2017/10/16</t>
  </si>
  <si>
    <t xml:space="preserve">IEC CHA No. Job No. Job Date Port of Discharge Total Package Gross Weight (Kg) FOB(INR) Total Cess (INR) Drawback STR Total (DBK+STR) CIN NO. CIN DT. Reward Flag
2189000734  AQBPK4529MCH001  6770438  16 OCT 2017 12:10  CNSHA  8  323  268774  0  0  0  0  N.A.  N.A.  Click here to view item wise reward details </t>
  </si>
  <si>
    <t xml:space="preserve">Current Que LEO Date EP Copy Print Status DBK Scroll No Scroll Date EGM Integration Status
HIST  17 OCT 2017 00:10  Y  N.A.  N.A.  Y </t>
  </si>
  <si>
    <t xml:space="preserve">EGM No. EGM Date Container No. Seal No. Error Message
R687802210  2017-10-22 0.0.0.0  HDMU2678133  40779  N.A. </t>
  </si>
  <si>
    <t xml:space="preserve">GSTIN    -    20AXXXXXXXXE1ZX
Invoice Number Invoice Date IGST Paid(INR)
XXXXXXXXXXXXXX17-  2017-10-04  13503 </t>
  </si>
  <si>
    <t xml:space="preserve">IEC CHA No. Job No. Job Date Port of Discharge Total Package Gross Weight (Kg) FOB(INR) Total Cess (INR) Drawback STR Total (DBK+STR) CIN NO. CIN DT. Reward Flag
3104003254  AAACA3307KCH003  6781876  16 OCT 2017 12:10  USSTL  2  200  251306.1  0  5026  0  5026  N.A.  N.A.  Click here to view item wise reward details </t>
  </si>
  <si>
    <t xml:space="preserve">Current Que LEO Date EP Copy Print Status DBK Scroll No Scroll Date EGM Integration Status
HIST  30 OCT 2017 00:10  Y  22528/2017  10 NOV 2017 00:11  Y </t>
  </si>
  <si>
    <t xml:space="preserve">EGM No. EGM Date Container No. Seal No. Error Message
T937660411  2017-11-4 0.0.0.0  SEGU4994420  408956  N.A. </t>
  </si>
  <si>
    <t xml:space="preserve">GSTIN    -    27AXXXXXXXXR1ZF
Invoice Number Invoice Date IGST Paid(INR)
XXXXXXXXXXXX-18  2017-10-06  63000 </t>
  </si>
  <si>
    <t xml:space="preserve">AWB No. Gateway Port Gateway EGM No. Gateway EGM Date Gateway Site ID Error Code
N.A.  INMUN1  137020  2017-10-16 00:00:00.0  INMUN1  S </t>
  </si>
  <si>
    <t xml:space="preserve">IEC CHA No. Job No. Job Date Port of Discharge Total Package Gross Weight (Kg) FOB(INR) Total Cess (INR) Drawback STR Total (DBK+STR) CIN NO. CIN DT. Reward Flag
0503014761  AAGFT5049NCH001  6789639  16 OCT 2017 12:10  LKCMB  74  1644.82  297663.54  0  0  0  0  N.A.  N.A.  Click here to view item wise reward details </t>
  </si>
  <si>
    <t xml:space="preserve">Current Que LEO Date EP Copy Print Status DBK Scroll No Scroll Date EGM Integration Status
HIST  18 OCT 2017 00:10  Y  N.A.  N.A.  Y </t>
  </si>
  <si>
    <t xml:space="preserve">EGM No. EGM Date Container No. Seal No. Error Message
T427042410  2017-10-24 0.0.0.0  TTNU9450840  407792  N.A. </t>
  </si>
  <si>
    <t xml:space="preserve">GSTIN    -    06AXXXXXXXXD1ZC
Invoice Number Invoice Date IGST Paid(INR)
XXXXXXXXXX016  2017-10-16  36630 </t>
  </si>
  <si>
    <t>2017/10/17</t>
  </si>
  <si>
    <t xml:space="preserve">IEC CHA No. Job No. Job Date Port of Discharge Total Package Gross Weight (Kg) FOB(INR) Total Cess (INR) Drawback STR Total (DBK+STR) CIN NO. CIN DT. Reward Flag
0302060855  AMJPS3049QCH001  6804691  17 OCT 2017 12:10  FRLEH  28  234.22  158602.8  0  0  0  0  N.A.  N.A.  Click here to view item wise reward details </t>
  </si>
  <si>
    <t xml:space="preserve">EGM No. EGM Date Container No. Seal No. Error Message
T887462710  2017-10-27 0.0.0.0  SUDU1349505  408331  N.A. </t>
  </si>
  <si>
    <t xml:space="preserve">GSTIN    -    07AXXXXXXXXE1ZT
Invoice Number Invoice Date IGST Paid(INR)
XXXXXXXXXX367  2017-10-17  833 
XXXXXXXXXX369  2017-10-17  7096 </t>
  </si>
  <si>
    <t xml:space="preserve">AWB No. Gateway Port Gateway EGM No. Gateway EGM Date Gateway Site ID Error Code
N.A.  INMUN1  137857  2017-10-30 00:00:00.0  INMUN1  S </t>
  </si>
  <si>
    <t xml:space="preserve">IEC CHA No. Job No. Job Date Port of Discharge Total Package Gross Weight (Kg) FOB(INR) Total Cess (INR) Drawback STR Total (DBK+STR) CIN NO. CIN DT. Reward Flag
0594000319  AABCH1588ECH001  6806102  17 OCT 2017 12:10  USNYC  54  867.75  1233338.3  0  0  0  0  N.A.  N.A.  Click here to view item wise reward details </t>
  </si>
  <si>
    <t xml:space="preserve">Current Que LEO Date EP Copy Print Status DBK Scroll No Scroll Date EGM Integration Status
HIST  24 OCT 2017 00:10  Y  N.A.  N.A.  Y </t>
  </si>
  <si>
    <t xml:space="preserve">EGM No. EGM Date Container No. Seal No. Error Message
R437682810  2017-10-28 0.0.0.0  FCIU9221260  408359  N.A. </t>
  </si>
  <si>
    <t xml:space="preserve">GSTIN    -    07AXXXXXXXXK1ZR
Invoice Number Invoice Date IGST Paid(INR)
X212  2017-10-09  36249 </t>
  </si>
  <si>
    <t xml:space="preserve">AWB No. Gateway Port Gateway EGM No. Gateway EGM Date Gateway Site ID Error Code
N.A.  INNSA1  136639  2017-10-10 00:00:00.0  INNSA1  S </t>
  </si>
  <si>
    <t xml:space="preserve">IEC CHA No. Job No. Job Date Port of Discharge Total Package Gross Weight (Kg) FOB(INR) Total Cess (INR) Drawback STR Total (DBK+STR) CIN NO. CIN DT. Reward Flag
0500054339  AANPG2940CCH001  6813655  17 OCT 2017 12:10  AEJEA  18  800  346705.6  0  0  0  0  N.A.  N.A.  Click here to view item wise reward details </t>
  </si>
  <si>
    <t xml:space="preserve">EGM No. EGM Date Container No. Seal No. Error Message
R617602810  2017-10-28 0.0.0.0  TTNU9813289  408340  N.A. </t>
  </si>
  <si>
    <t xml:space="preserve">GSTIN    -    07AXXXXXXXXM1ZO
Invoice Number Invoice Date IGST Paid(INR)
XXXXXXXX-18  2017-10-14  89394 </t>
  </si>
  <si>
    <t xml:space="preserve">AWB No. Gateway Port Gateway EGM No. Gateway EGM Date Gateway Site ID Error Code
N.A.  INMUN1  137573  2017-10-25 00:00:00.0  INMUN1  S </t>
  </si>
  <si>
    <t xml:space="preserve">IEC CHA No. Job No. Job Date Port of Discharge Total Package Gross Weight (Kg) FOB(INR) Total Cess (INR) Drawback STR Total (DBK+STR) CIN NO. CIN DT. Reward Flag
0501009990  ADGPM5173KCH001  6822335  17 OCT 2017 12:10  LKCMB  2  620.06  194300.45  0  0  0  0  N.A.  N.A.  Click here to view item wise reward details </t>
  </si>
  <si>
    <t xml:space="preserve">Current Que LEO Date EP Copy Print Status DBK Scroll No Scroll Date EGM Integration Status
HIST  20 OCT 2017 00:10  Y  N.A.  N.A.  Y </t>
  </si>
  <si>
    <t xml:space="preserve">GSTIN    -    09AXXXXXXXXF1ZG
Invoice Number Invoice Date IGST Paid(INR)
XXXXXXXXXXX-12  2017-10-04  34975 </t>
  </si>
  <si>
    <t>2017/10/23</t>
  </si>
  <si>
    <t xml:space="preserve">IEC CHA No. Job No. Job Date Port of Discharge Total Package Gross Weight (Kg) FOB(INR) Total Cess (INR) Drawback STR Total (DBK+STR) CIN NO. CIN DT. Reward Flag
0500075158  ADXPJ1610RCH001  6891009  23 OCT 2017 12:10  USBOS  16  203  299259.75  0  4589  0  4589  N.A.  N.A.  Click here to view item wise reward details </t>
  </si>
  <si>
    <t xml:space="preserve">Current Que LEO Date EP Copy Print Status DBK Scroll No Scroll Date EGM Integration Status
HIST  23 OCT 2017 00:10  Y  24432/2018  25 MAR 2018 00:03  Y </t>
  </si>
  <si>
    <t xml:space="preserve">EGM No. EGM Date Container No. Seal No. Error Message
T567242510  2017-10-25 0.0.0.0  DRYU9359519  408313  N.A. </t>
  </si>
  <si>
    <t xml:space="preserve">ROSL Availed Amount(INR) Scroll Number Scroll Date
Y  4788  25934/2018  2018-3-20 0.0.0.0 </t>
  </si>
  <si>
    <t xml:space="preserve">GSTIN    -    07AXXXXXXXXP3ZI
Invoice Number Invoice Date IGST Paid(INR)
XXXXXXXXXXXXXX-18  2017-10-15  14927 </t>
  </si>
  <si>
    <t>2017/10/25</t>
  </si>
  <si>
    <t xml:space="preserve">IEC CHA No. Job No. Job Date Port of Discharge Total Package Gross Weight (Kg) FOB(INR) Total Cess (INR) Drawback STR Total (DBK+STR) CIN NO. CIN DT. Reward Flag
0512076341  AAJCA1821BCH001  6942905  25 OCT 2017 12:10  CUMZO  2  6000  4858347.55  0  97167  0  97167  N.A.  N.A.  Click here to view item wise reward details </t>
  </si>
  <si>
    <t xml:space="preserve">Current Que LEO Date EP Copy Print Status DBK Scroll No Scroll Date EGM Integration Status
HIST  26 OCT 2017 00:10  Y  22528/2017  10 NOV 2017 00:11  Y </t>
  </si>
  <si>
    <t xml:space="preserve">EGM No. EGM Date Container No. Seal No. Error Message
R867722910  2017-10-29 0.0.0.0  TGHU0568934  408516  N.A. </t>
  </si>
  <si>
    <t xml:space="preserve">GSTIN    -    06AXXXXXXXXE1ZX
Invoice Number Invoice Date IGST Paid(INR)
XXXXXXXXXXXXXX/10  2017-10-23  878404 </t>
  </si>
  <si>
    <t xml:space="preserve">AWB No. Gateway Port Gateway EGM No. Gateway EGM Date Gateway Site ID Error Code
N.A.  INMUN1  137953  2017-11-01 00:00:00.0  INMUN1  S </t>
  </si>
  <si>
    <t>2017/10/26</t>
  </si>
  <si>
    <t xml:space="preserve">IEC CHA No. Job No. Job Date Port of Discharge Total Package Gross Weight (Kg) FOB(INR) Total Cess (INR) Drawback STR Total (DBK+STR) CIN NO. CIN DT. Reward Flag
0510085423  AABCI7233BCH010  6961872  26 OCT 2017 12:10  LKCMB  6  38.4  32716.5  0  658  0  658  N.A.  N.A.  Click here to view item wise reward details </t>
  </si>
  <si>
    <t xml:space="preserve">Current Que LEO Date EP Copy Print Status DBK Scroll No Scroll Date EGM Integration Status
HIST  28 OCT 2017 00:10  Y  22528/2017  10 NOV 2017 00:11  Y </t>
  </si>
  <si>
    <t xml:space="preserve">EGM No. EGM Date Container No. Seal No. Error Message
R597123010  2017-10-30 0.0.0.0  ZCSU2655603  408394  N.A. </t>
  </si>
  <si>
    <t xml:space="preserve">GSTIN    -    07AXXXXXXXXK1ZW
Invoice Number Invoice Date IGST Paid(INR)
XXXXXXXXXXXXX146  2017-10-25  3925 </t>
  </si>
  <si>
    <t xml:space="preserve">AWB No. Gateway Port Gateway EGM No. Gateway EGM Date Gateway Site ID Error Code
N.A.  INNSA1  137147  2017-10-18 00:00:00.0  INNSA1  C </t>
  </si>
  <si>
    <t xml:space="preserve">IEC CHA No. Job No. Job Date Port of Discharge Total Package Gross Weight (Kg) FOB(INR) Total Cess (INR) Drawback STR Total (DBK+STR) CIN NO. CIN DT. Reward Flag
0504064754  FHMPS1058ECH001  6980662  26 OCT 2017 12:10  LKCMB  2  198  85736.48  0  1715  0  1715  N.A.  N.A.  Click here to view item wise reward details </t>
  </si>
  <si>
    <t xml:space="preserve">Current Que LEO Date EP Copy Print Status DBK Scroll No Scroll Date EGM Integration Status
HIST  27 OCT 2017 00:10  Y  22753/2017  24 NOV 2017 00:11  Y </t>
  </si>
  <si>
    <t xml:space="preserve">EGM No. EGM Date Container No. Seal No. Error Message
R117101311  2017-11-13 0.0.0.0  GLDU7092036  410152  N.A. </t>
  </si>
  <si>
    <t xml:space="preserve">GSTIN    -    09AXXXXXXXXP2ZF
Invoice Number Invoice Date IGST Paid(INR)
XXXXXXXXX/22  2017-10-17  4296 </t>
  </si>
  <si>
    <t xml:space="preserve">AWB No. Gateway Port Gateway EGM No. Gateway EGM Date Gateway Site ID Error Code
N.A.  INNSA1  138449  2017-11-09 00:00:00.0  INNSA1  S </t>
  </si>
  <si>
    <t>2017/10/27</t>
  </si>
  <si>
    <t xml:space="preserve">IEC CHA No. Job No. Job Date Port of Discharge Total Package Gross Weight (Kg) FOB(INR) Total Cess (INR) Drawback STR Total (DBK+STR) CIN NO. CIN DT. Reward Flag
0507051360  ACOPV0617QCH001  6993498  27 OCT 2017 12:10  JPNGY  4  2620  3403998.88  0  0  0  0  N.A.  N.A.  Click here to view item wise reward details </t>
  </si>
  <si>
    <t xml:space="preserve">Current Que LEO Date EP Copy Print Status DBK Scroll No Scroll Date EGM Integration Status
HIST  01 NOV 2017 00:11  Y  N.A.  N.A.  Y </t>
  </si>
  <si>
    <t xml:space="preserve">EGM No. EGM Date Container No. Seal No. Error Message
R1237600311  2017-11-3 0.0.0.0  TCLU8954847  409204  N.A. </t>
  </si>
  <si>
    <t xml:space="preserve">GSTIN    -    09AXXXXXXXXR1ZJ
Invoice Number Invoice Date IGST Paid(INR)
XXXXXXXXXXXXX001  2017-10-25  956079 </t>
  </si>
  <si>
    <t xml:space="preserve">AWB No. Gateway Port Gateway EGM No. Gateway EGM Date Gateway Site ID Error Code
N.A.  INPAV1  138356  2017-11-07 00:00:00.0  INPAV1  S </t>
  </si>
  <si>
    <t xml:space="preserve">IEC CHA No. Job No. Job Date Port of Discharge Total Package Gross Weight (Kg) FOB(INR) Total Cess (INR) Drawback STR Total (DBK+STR) CIN NO. CIN DT. Reward Flag
0500048967  AFXPK5610ECH001  7003225  27 OCT 2017 12:10  NZLYT  26  623.04  243048  0  0  0  0  N.A.  N.A.  Click here to view item wise reward details </t>
  </si>
  <si>
    <t xml:space="preserve">Current Que LEO Date EP Copy Print Status DBK Scroll No Scroll Date EGM Integration Status
HIST  30 OCT 2017 00:10  Y  N.A.  N.A.  Y </t>
  </si>
  <si>
    <t xml:space="preserve">EGM No. EGM Date Container No. Seal No. Error Message
J237680411  2017-11-4 0.0.0.0  TCLU3101163  408966  N.A. </t>
  </si>
  <si>
    <t xml:space="preserve">GSTIN    -    07AXXXXXXXXQ1ZX
Invoice Number Invoice Date IGST Paid(INR)
XXXXXXXXXXX-18  2017-09-25  29163 </t>
  </si>
  <si>
    <t xml:space="preserve">AWB No. Gateway Port Gateway EGM No. Gateway EGM Date Gateway Site ID Error Code
N.A.  INNSA1  137367  2017-10-23 00:00:00.0  INNSA1  S </t>
  </si>
  <si>
    <t xml:space="preserve">IEC CHA No. Job No. Job Date Port of Discharge Total Package Gross Weight (Kg) FOB(INR) Total Cess (INR) Drawback STR Total (DBK+STR) CIN NO. CIN DT. Reward Flag
0592023052  FHMPS1058ECH001  7007875  27 OCT 2017 12:10  MYPKG  1  516.28  190774.4  0  3815  0  3815  N.A.  N.A.  Click here to view item wise reward details </t>
  </si>
  <si>
    <t xml:space="preserve">EGM No. EGM Date Container No. Seal No. Error Message
J237680411  2017-11-4 0.0.0.0  HNSU2035740  408975  N.A. </t>
  </si>
  <si>
    <t xml:space="preserve">GSTIN    -    06AXXXXXXXXE4ZU
Invoice Number Invoice Date IGST Paid(INR)
XXXXXXXXXXXXXX17-  2017-09-28  54045 </t>
  </si>
  <si>
    <t xml:space="preserve">AWB No. Gateway Port Gateway EGM No. Gateway EGM Date Gateway Site ID Error Code
N.A.  INNSA1  137969  2017-11-01 00:00:00.0  INNSA1  C </t>
  </si>
  <si>
    <t xml:space="preserve">IEC CHA No. Job No. Job Date Port of Discharge Total Package Gross Weight (Kg) FOB(INR) Total Cess (INR) Drawback STR Total (DBK+STR) CIN NO. CIN DT. Reward Flag
0511002459  AACCJ6018NCH001  7008660  27 OCT 2017 12:10  ZAJNB  2  619.2  275331.8  0  5507  0  5507  N.A.  N.A.  Click here to view item wise reward details </t>
  </si>
  <si>
    <t xml:space="preserve">Current Que LEO Date EP Copy Print Status DBK Scroll No Scroll Date EGM Integration Status
HIST  01 NOV 2017 00:11  Y  22753/2017  24 NOV 2017 00:11  Y </t>
  </si>
  <si>
    <t xml:space="preserve">EGM No. EGM Date Container No. Seal No. Error Message
T417481011  2017-11-10 0.0.0.0  NYKU3240133  409783  N.A. </t>
  </si>
  <si>
    <t xml:space="preserve">GSTIN    -    06AXXXXXXXXK1ZR
Invoice Number Invoice Date IGST Paid(INR)
XXXXXXXXXX718  2017-10-24  45882 </t>
  </si>
  <si>
    <t xml:space="preserve">AWB No. Gateway Port Gateway EGM No. Gateway EGM Date Gateway Site ID Error Code
N.A.  INNSA1  138138  2017-11-03 00:00:00.0  INNSA1  S </t>
  </si>
  <si>
    <t>2017/10/30</t>
  </si>
  <si>
    <t xml:space="preserve">IEC CHA No. Job No. Job Date Port of Discharge Total Package Gross Weight (Kg) FOB(INR) Total Cess (INR) Drawback STR Total (DBK+STR) CIN NO. CIN DT. Reward Flag
0508028078  AAECB3928MCH001  7039088  30 OCT 2017 12:10  DEHAM  1  465  273728  0  0  0  0  N.A.  N.A.  Click here to view item wise reward details </t>
  </si>
  <si>
    <t xml:space="preserve">Current Que LEO Date EP Copy Print Status DBK Scroll No Scroll Date EGM Integration Status
HIST  02 NOV 2017 00:11  Y  N.A.  N.A.  Y </t>
  </si>
  <si>
    <t xml:space="preserve">EGM No. EGM Date Container No. Seal No. Error Message
R857060711  2017-11-7 0.0.0.0  BMOU5903388  408984  N.A. </t>
  </si>
  <si>
    <t xml:space="preserve">GSTIN    -    06AXXXXXXXXD1Z2
Invoice Number Invoice Date IGST Paid(INR)
XXXXXXXXXX263  2017-09-28  59984 </t>
  </si>
  <si>
    <t xml:space="preserve">AWB No. Gateway Port Gateway EGM No. Gateway EGM Date Gateway Site ID Error Code
N.A.  INNSA1  137453  2017-10-24 00:00:00.0  INNSA1  C </t>
  </si>
  <si>
    <t xml:space="preserve">IEC CHA No. Job No. Job Date Port of Discharge Total Package Gross Weight (Kg) FOB(INR) Total Cess (INR) Drawback STR Total (DBK+STR) CIN NO. CIN DT. Reward Flag
0517542374  AAJPK0196LCH001  7046224  30 OCT 2017 12:10  AEJEA  11  13950  975000  0  19500  0  19500  N.A.  N.A.  Click here to view item wise reward details </t>
  </si>
  <si>
    <t xml:space="preserve">Current Que LEO Date EP Copy Print Status DBK Scroll No Scroll Date EGM Integration Status
HIST  09 NOV 2017 00:11  Y  22753/2017  24 NOV 2017 00:11  Y </t>
  </si>
  <si>
    <t xml:space="preserve">EGM No. EGM Date Container No. Seal No. Error Message
R1307141411  2017-11-14 0.0.0.0  BSIU9258478  410288  N.A. </t>
  </si>
  <si>
    <t xml:space="preserve">GSTIN    -    06AXXXXXXXXR1ZC
Invoice Number Invoice Date IGST Paid(INR)
XXX/02  2017-10-20  175500 </t>
  </si>
  <si>
    <t xml:space="preserve">AWB No. Gateway Port Gateway EGM No. Gateway EGM Date Gateway Site ID Error Code
N.A.  INMUN1  139244  2017-11-21 00:00:00.0  INMUN1  S </t>
  </si>
  <si>
    <t xml:space="preserve">IEC CHA No. Job No. Job Date Port of Discharge Total Package Gross Weight (Kg) FOB(INR) Total Cess (INR) Drawback STR Total (DBK+STR) CIN NO. CIN DT. Reward Flag
0591028549  AAECB3928MCH001  7049582  30 OCT 2017 12:10  USHOU  1  271.647  255637.75  0  0  0  0  N.A.  N.A.  Click here to view item wise reward details </t>
  </si>
  <si>
    <t xml:space="preserve">EGM No. EGM Date Container No. Seal No. Error Message
R917281511  2017-11-15 0.0.0.0  MSKU5046484  410116  N.A. </t>
  </si>
  <si>
    <t xml:space="preserve">GSTIN    -    06AXXXXXXXXJ2ZR
Invoice Number Invoice Date IGST Paid(INR)
XXXXX-18  2017-09-20  45511 </t>
  </si>
  <si>
    <t xml:space="preserve">AWB No. Gateway Port Gateway EGM No. Gateway EGM Date Gateway Site ID Error Code
N.A.  INNSA1  137348  2017-10-23 00:00:00.0  INNSA1  S </t>
  </si>
  <si>
    <t xml:space="preserve">IEC CHA No. Job No. Job Date Port of Discharge Total Package Gross Weight (Kg) FOB(INR) Total Cess (INR) Drawback STR Total (DBK+STR) CIN NO. CIN DT. Reward Flag
3104003254  AAACA3307KCH003  7054953  30 OCT 2017 12:10  ARBUE  6  888  973732.85  0  19475  0  19475  N.A.  N.A.  Click here to view item wise reward details </t>
  </si>
  <si>
    <t xml:space="preserve">Current Que LEO Date EP Copy Print Status DBK Scroll No Scroll Date EGM Integration Status
HIST  10 NOV 2017 00:11  Y  22753/2017  24 NOV 2017 00:11  Y </t>
  </si>
  <si>
    <t xml:space="preserve">EGM No. EGM Date Container No. Seal No. Error Message
T897181411  2017-11-14 0.0.0.0  GVCU5235474  410172  N.A. </t>
  </si>
  <si>
    <t xml:space="preserve">GSTIN    -    27AXXXXXXXXR1ZF
Invoice Number Invoice Date IGST Paid(INR)
XXXXXXXXXXXXXX-18  2017-10-26  168000 </t>
  </si>
  <si>
    <t xml:space="preserve">AWB No. Gateway Port Gateway EGM No. Gateway EGM Date Gateway Site ID Error Code
N.A.  INNSA1  137366  2017-10-23 00:00:00.0  INNSA1  S </t>
  </si>
  <si>
    <t>2017/10/31</t>
  </si>
  <si>
    <t xml:space="preserve">IEC CHA No. Job No. Job Date Port of Discharge Total Package Gross Weight (Kg) FOB(INR) Total Cess (INR) Drawback STR Total (DBK+STR) CIN NO. CIN DT. Reward Flag
0506059944  AGYPS4804QCH001  7072682  31 OCT 2017 12:10  QADOH  374  18737.4  189434.95  0  0  0  0  N.A.  N.A.  Click here to view item wise reward details </t>
  </si>
  <si>
    <t xml:space="preserve">EGM No. EGM Date Container No. Seal No. Error Message
J237680411  2017-11-4 0.0.0.0  BSIU2923410  409431  N.A. </t>
  </si>
  <si>
    <t xml:space="preserve">GSTIN    -    07AXXXXXXXXL1Z8
Invoice Number Invoice Date IGST Paid(INR)
XXXXXXXX001  2017-10-27  10914 </t>
  </si>
  <si>
    <t xml:space="preserve">AWB No. Gateway Port Gateway EGM No. Gateway EGM Date Gateway Site ID Error Code
N.A.  INNSA1  137830  2017-10-30 00:00:00.0  INNSA1  S </t>
  </si>
  <si>
    <t xml:space="preserve">IEC CHA No. Job No. Job Date Port of Discharge Total Package Gross Weight (Kg) FOB(INR) Total Cess (INR) Drawback STR Total (DBK+STR) CIN NO. CIN DT. Reward Flag
0597017891  AAZPM1462DCH001  7078745  31 OCT 2017 12:10  ESVLC  50  715.9  176314.99  0  2515  0  2515  N.A.  N.A.  Click here to view item wise reward details </t>
  </si>
  <si>
    <t xml:space="preserve">Current Que LEO Date EP Copy Print Status DBK Scroll No Scroll Date EGM Integration Status
HIST  13 NOV 2017 00:11  Y  22753/2017  24 NOV 2017 00:11  Y </t>
  </si>
  <si>
    <t xml:space="preserve">EGM No. EGM Date Container No. Seal No. Error Message
T257561711  2017-11-17 0.0.0.0  CCLU3768859  410722  N.A. </t>
  </si>
  <si>
    <t xml:space="preserve">GSTIN    -    07AXXXXXXXXF1Z3
Invoice Number Invoice Date IGST Paid(INR)
XXXXXXXXX066  2017-10-10  35768 </t>
  </si>
  <si>
    <t xml:space="preserve">AWB No. Gateway Port Gateway EGM No. Gateway EGM Date Gateway Site ID Error Code
N.A.  INNSA1  138455  2017-11-09 00:00:00.0  INNSA1  S </t>
  </si>
  <si>
    <t xml:space="preserve">IEC CHA No. Job No. Job Date Port of Discharge Total Package Gross Weight (Kg) FOB(INR) Total Cess (INR) Drawback STR Total (DBK+STR) CIN NO. CIN DT. Reward Flag
0597017891  AAACT0334RCH001  7088779  31 OCT 2017 12:10  USLAX  58  1299.1  309895.82  0  4926  0  4926  N.A.  N.A.  Click here to view item wise reward details </t>
  </si>
  <si>
    <t xml:space="preserve">Current Que LEO Date EP Copy Print Status DBK Scroll No Scroll Date EGM Integration Status
HIST  08 NOV 2017 00:11  Y  22753/2017  24 NOV 2017 00:11  Y </t>
  </si>
  <si>
    <t xml:space="preserve">EGM No. EGM Date Container No. Seal No. Error Message
R917281511  2017-11-15 0.0.0.0  CRXU9830141  410173  N.A. </t>
  </si>
  <si>
    <t xml:space="preserve">GSTIN    -    07AXXXXXXXXF1Z3
Invoice Number Invoice Date IGST Paid(INR)
XXXXXXXXX068  2017-10-30  39496 </t>
  </si>
  <si>
    <t xml:space="preserve">AWB No. Gateway Port Gateway EGM No. Gateway EGM Date Gateway Site ID Error Code
N.A.  INNSA1  138732  2017-11-14 00:00:00.0  INNSA1  S </t>
  </si>
  <si>
    <t>2017/11/01</t>
  </si>
  <si>
    <t xml:space="preserve">IEC CHA No. Job No. Job Date Port of Discharge Total Package Gross Weight (Kg) FOB(INR) Total Cess (INR) Drawback STR Total (DBK+STR) CIN NO. CIN DT. Reward Flag
0504038966  AAACU5306LCH002  7103357  01 NOV 2017 12:11  NLRTM  2  1487  220967.68  0  4419  0  4419  N.A.  N.A.  Click here to view item wise reward details </t>
  </si>
  <si>
    <t xml:space="preserve">Current Que LEO Date EP Copy Print Status DBK Scroll No Scroll Date EGM Integration Status
HIST  07 NOV 2017 00:11  Y  22753/2017  24 NOV 2017 00:11  Y </t>
  </si>
  <si>
    <t xml:space="preserve">EGM No. EGM Date Container No. Seal No. Error Message
R757340911  2017-11-9 0.0.0.0  CAIU2219324  409773  N.A. </t>
  </si>
  <si>
    <t xml:space="preserve">GSTIN    -    06AXXXXXXXXD1ZM
Invoice Number Invoice Date IGST Paid(INR)
XXXXXX/11  2017-10-27  61871 </t>
  </si>
  <si>
    <t xml:space="preserve">AWB No. Gateway Port Gateway EGM No. Gateway EGM Date Gateway Site ID Error Code
N.A.  INNSA1  137889  2017-10-31 00:00:00.0  INNSA1  S </t>
  </si>
  <si>
    <t>2017/11/02</t>
  </si>
  <si>
    <t xml:space="preserve">IEC CHA No. Job No. Job Date Port of Discharge Total Package Gross Weight (Kg) FOB(INR) Total Cess (INR) Drawback STR Total (DBK+STR) CIN NO. CIN DT. Reward Flag
0511002459  AACCJ6018NCH001  7132173  02 NOV 2017 12:11  AEJEA  1  360.4  95400.03  0  1908  0  1908  N.A.  N.A.  Click here to view item wise reward details </t>
  </si>
  <si>
    <t xml:space="preserve">Current Que LEO Date EP Copy Print Status DBK Scroll No Scroll Date EGM Integration Status
HIST  10 NOV 2017 00:11  Y  22850/2017  30 NOV 2017 00:11  Y </t>
  </si>
  <si>
    <t xml:space="preserve">EGM No. EGM Date Container No. Seal No. Error Message
R67142711  2017-11-27 0.0.0.0  TRHU3490683  411926  N.A. </t>
  </si>
  <si>
    <t xml:space="preserve">GSTIN    -    06AXXXXXXXXK1ZR
Invoice Number Invoice Date IGST Paid(INR)
XXXXXXXXXX718  2017-11-02  17288 </t>
  </si>
  <si>
    <t xml:space="preserve">AWB No. Gateway Port Gateway EGM No. Gateway EGM Date Gateway Site ID Error Code
N.A.  INNSA1  138837  2017-11-15 00:00:00.0  INNSA1  S </t>
  </si>
  <si>
    <t>2017/11/03</t>
  </si>
  <si>
    <t xml:space="preserve">IEC CHA No. Job No. Job Date Port of Discharge Total Package Gross Weight (Kg) FOB(INR) Total Cess (INR) Drawback STR Total (DBK+STR) CIN NO. CIN DT. Reward Flag
0288014952  AVAPS6694RCH001  7155035  03 NOV 2017 12:11  BDCGP  94  3601  1018340.05  0  19416  0  19416  N.A.  N.A.  Click here to view item wise reward details </t>
  </si>
  <si>
    <t xml:space="preserve">Current Que LEO Date EP Copy Print Status DBK Scroll No Scroll Date EGM Integration Status
HIST  06 NOV 2017 00:11  Y  23643/2018  31 JAN 2018 00:01  Y </t>
  </si>
  <si>
    <t xml:space="preserve">EGM No. EGM Date Container No. Seal No. Error Message
T957380911  2017-11-9 0.0.0.0  CAIU8861239  409849  N.A. </t>
  </si>
  <si>
    <t xml:space="preserve">GSTIN    -    19AXXXXXXXXC1ZW
Invoice Number Invoice Date IGST Paid(INR)
XXXXXXXXXXXX017  2017-10-31  194792 </t>
  </si>
  <si>
    <t xml:space="preserve">IEC CHA No. Job No. Job Date Port of Discharge Total Package Gross Weight (Kg) FOB(INR) Total Cess (INR) Drawback STR Total (DBK+STR) CIN NO. CIN DT. Reward Flag
3014016713  AAACV8475HCH022  7163347  03 NOV 2017 12:11  NZAKL  79  1076.5  712293.4  0  10684  0  10684  N.A.  N.A.  Click here to view item wise reward details </t>
  </si>
  <si>
    <t xml:space="preserve">EGM No. EGM Date Container No. Seal No. Error Message
R987721111  2017-11-11 0.0.0.0  HMMU6037769  409797  N.A. </t>
  </si>
  <si>
    <t xml:space="preserve">GSTIN    -    03AXXXXXXXXN2Z7
Invoice Number Invoice Date IGST Paid(INR)
04  2017-11-02  198470 </t>
  </si>
  <si>
    <t xml:space="preserve">IEC CHA No. Job No. Job Date Port of Discharge Total Package Gross Weight (Kg) FOB(INR) Total Cess (INR) Drawback STR Total (DBK+STR) CIN NO. CIN DT. Reward Flag
3303004897  AAKFT7074RCH001  7164309  03 NOV 2017 12:11  IRBND  5  41  128124.91  0  0  0  0  N.A.  N.A.  Click here to view item wise reward details </t>
  </si>
  <si>
    <t xml:space="preserve">Current Que LEO Date EP Copy Print Status DBK Scroll No Scroll Date EGM Integration Status
HIST  16 DEC 2017 00:12  Y  N.A.  N.A.  Y </t>
  </si>
  <si>
    <t xml:space="preserve">EGM No. EGM Date Container No. Seal No. Error Message
T437622212  2017-12-22 0.0.0.0  TCKU3159445  414297  N.A. </t>
  </si>
  <si>
    <t xml:space="preserve">GSTIN    -    06AXXXXXXXXC1ZC
Invoice Number Invoice Date IGST Paid(INR)
1  2017-10-26  25511 </t>
  </si>
  <si>
    <t xml:space="preserve">AWB No. Gateway Port Gateway EGM No. Gateway EGM Date Gateway Site ID Error Code
N.A.  INMUN1  140630  2017-12-13 00:00:00.0  INMUN1  S </t>
  </si>
  <si>
    <t xml:space="preserve">IEC CHA No. Job No. Job Date Port of Discharge Total Package Gross Weight (Kg) FOB(INR) Total Cess (INR) Drawback STR Total (DBK+STR) CIN NO. CIN DT. Reward Flag
0506074285  AAEPI0406QCH001  7167836  03 NOV 2017 12:11  USNYC  17  222.19  440248.38  0  8805  0  8805  N.A.  N.A.  Click here to view item wise reward details </t>
  </si>
  <si>
    <t xml:space="preserve">EGM No. EGM Date Container No. Seal No. Error Message
R627641011  2017-11-10 0.0.0.0  TRLU7601994  410141  N.A. </t>
  </si>
  <si>
    <t xml:space="preserve">ROSL Availed Amount(INR) Scroll Number Scroll Date
Y  7484  25863/2017  2017-11-20 0.0.0.0 </t>
  </si>
  <si>
    <t xml:space="preserve">GSTIN    -    06AXXXXXXXXD1Z0
Invoice Number Invoice Date IGST Paid(INR)
XXXXXXXXXXX-18  2017-11-02  22038 </t>
  </si>
  <si>
    <t>2017/11/06</t>
  </si>
  <si>
    <t xml:space="preserve">IEC CHA No. Job No. Job Date Port of Discharge Total Package Gross Weight (Kg) FOB(INR) Total Cess (INR) Drawback STR Total (DBK+STR) CIN NO. CIN DT. Reward Flag
0598032801  ADDPA2722RCH001  7204550  06 NOV 2017 12:11  BHBAH  273  4000  641675.58  0  9717  0  9717  N.A.  N.A.  Click here to view item wise reward details </t>
  </si>
  <si>
    <t xml:space="preserve">EGM No. EGM Date Container No. Seal No. Error Message
R667661111  2017-11-11 0.0.0.0  TRHU1567894  409974  N.A. </t>
  </si>
  <si>
    <t xml:space="preserve">GSTIN    -    07AXXXXXXXXH1Z8
Invoice Number Invoice Date IGST Paid(INR)
XXXXXXXX017  2017-11-06  92965 </t>
  </si>
  <si>
    <t xml:space="preserve">AWB No. Gateway Port Gateway EGM No. Gateway EGM Date Gateway Site ID Error Code
N.A.  INMUN1  138363  2017-11-07 00:00:00.0  INMUN1  S </t>
  </si>
  <si>
    <t xml:space="preserve">IEC CHA No. Job No. Job Date Port of Discharge Total Package Gross Weight (Kg) FOB(INR) Total Cess (INR) Drawback STR Total (DBK+STR) CIN NO. CIN DT. Reward Flag
0515933520  AAFCS0723ACH002  7207933  06 NOV 2017 12:11  TZDAR  38  1838.04  1017689.67  0  14244  0  14244  N.A.  N.A.  Click here to view item wise reward details </t>
  </si>
  <si>
    <t xml:space="preserve">GSTIN    -    06AXXXXXXXXN1ZN
Invoice Number Invoice Date IGST Paid(INR)
008  2017-10-28  251421 </t>
  </si>
  <si>
    <t xml:space="preserve">AWB No. Gateway Port Gateway EGM No. Gateway EGM Date Gateway Site ID Error Code
N.A.  INNSA1  137353  2017-10-23 00:00:00.0  INNSA1  C </t>
  </si>
  <si>
    <t xml:space="preserve">IEC CHA No. Job No. Job Date Port of Discharge Total Package Gross Weight (Kg) FOB(INR) Total Cess (INR) Drawback STR Total (DBK+STR) CIN NO. CIN DT. Reward Flag
0507062884  AYZPP5973GCH001  7214312  06 NOV 2017 12:11  BRSSZ  55  2712  1399905  0  27998  0  27998  N.A.  N.A.  Click here to view item wise reward details </t>
  </si>
  <si>
    <t xml:space="preserve">EGM No. EGM Date Container No. Seal No. Error Message
R827541011  2017-11-10 0.0.0.0  FSCU8189292  003299  N.A. </t>
  </si>
  <si>
    <t xml:space="preserve">GSTIN    -    09AXXXXXXXXJ1Z6
Invoice Number Invoice Date IGST Paid(INR)
XXXXXXXXXXX018  2017-11-06  251970 </t>
  </si>
  <si>
    <t xml:space="preserve">AWB No. Gateway Port Gateway EGM No. Gateway EGM Date Gateway Site ID Error Code
N.A.  INMUN1  137950  2017-11-01 00:00:00.0  INMUN1  S </t>
  </si>
  <si>
    <t>2017/11/07</t>
  </si>
  <si>
    <t xml:space="preserve">IEC CHA No. Job No. Job Date Port of Discharge Total Package Gross Weight (Kg) FOB(INR) Total Cess (INR) Drawback STR Total (DBK+STR) CIN NO. CIN DT. Reward Flag
0515019933  AADCA0273BCH001  7220585  07 NOV 2017 12:11  BJCOO  859  26003.19  8942925.17  0  178859  0  178859  N.A.  N.A.  Click here to view item wise reward details </t>
  </si>
  <si>
    <t xml:space="preserve">EGM No. EGM Date Container No. Seal No. Error Message
TX207081311  2017-11-13 0.0.0.0  MSKU2352794  410286  N.A. </t>
  </si>
  <si>
    <t xml:space="preserve">GSTIN    -    07AXXXXXXXXN2Z8
Invoice Number Invoice Date IGST Paid(INR)
XXXXXX-18  2017-11-04  1073135 </t>
  </si>
  <si>
    <t xml:space="preserve">AWB No. Gateway Port Gateway EGM No. Gateway EGM Date Gateway Site ID Error Code
N.A.  INMUN1  141255  2017-12-23 00:00:00.0  INMUN1  S </t>
  </si>
  <si>
    <t xml:space="preserve">IEC CHA No. Job No. Job Date Port of Discharge Total Package Gross Weight (Kg) FOB(INR) Total Cess (INR) Drawback STR Total (DBK+STR) CIN NO. CIN DT. Reward Flag
0615002285  AAIFP4144LCH001  7222734  07 NOV 2017 12:11  IRBND  1304  18977.5  3567531.24  0  53513  0  53513  N.A.  N.A.  Click here to view item wise reward details </t>
  </si>
  <si>
    <t xml:space="preserve">Current Que LEO Date EP Copy Print Status DBK Scroll No Scroll Date EGM Integration Status
HIST  14 NOV 2017 00:11  Y  24432/2018  25 MAR 2018 00:03  Y </t>
  </si>
  <si>
    <t xml:space="preserve">EGM No. EGM Date Container No. Seal No. Error Message
T707501711  2017-11-17 0.0.0.0  TTNU9712600  410620  N.A. </t>
  </si>
  <si>
    <t xml:space="preserve">GSTIN    -    09AXXXXXXXXF1ZF
Invoice Number Invoice Date IGST Paid(INR)
XXXXXXXXXXX-18  2017-10-24  483215 </t>
  </si>
  <si>
    <t xml:space="preserve">AWB No. Gateway Port Gateway EGM No. Gateway EGM Date Gateway Site ID Error Code
N.A.  INMUN1  151099  2018-05-28 00:00:00.0  INMUN1  S </t>
  </si>
  <si>
    <t xml:space="preserve">IEC CHA No. Job No. Job Date Port of Discharge Total Package Gross Weight (Kg) FOB(INR) Total Cess (INR) Drawback STR Total (DBK+STR) CIN NO. CIN DT. Reward Flag
0504008455  AHDPK8975CCH001  7225133  07 NOV 2017 12:11  KEMBA  49  940.02  343317.52  0  6866  0  6866  N.A.  N.A.  Click here to view item wise reward details </t>
  </si>
  <si>
    <t xml:space="preserve">EGM No. EGM Date Container No. Seal No. Error Message
R627641011  2017-11-10 0.0.0.0  GESU5146944  410131  N.A. </t>
  </si>
  <si>
    <t xml:space="preserve">GSTIN    -    07AXXXXXXXXD1Z2
Invoice Number Invoice Date IGST Paid(INR)
XXX004  2017-10-25  96124 </t>
  </si>
  <si>
    <t xml:space="preserve">AWB No. Gateway Port Gateway EGM No. Gateway EGM Date Gateway Site ID Error Code
N.A.  INNSA1  137370  2017-10-23 00:00:00.0  INNSA1  C </t>
  </si>
  <si>
    <t>2017/11/08</t>
  </si>
  <si>
    <t xml:space="preserve">IEC CHA No. Job No. Job Date Port of Discharge Total Package Gross Weight (Kg) FOB(INR) Total Cess (INR) Drawback STR Total (DBK+STR) CIN NO. CIN DT. Reward Flag
0597017891  AAZPM1462DCH001  7263106  08 NOV 2017 12:11  AEJEA  21  478.3  93799.52  0  1820  0  1820  N.A.  N.A.  Click here to view item wise reward details </t>
  </si>
  <si>
    <t xml:space="preserve">Current Que LEO Date EP Copy Print Status DBK Scroll No Scroll Date EGM Integration Status
HIST  13 NOV 2017 00:11  Y  24432/2018  25 MAR 2018 00:03  Y </t>
  </si>
  <si>
    <t xml:space="preserve">EGM No. EGM Date Container No. Seal No. Error Message
T257561711  2017-11-17 0.0.0.0  PALU5007291  410729  N.A. </t>
  </si>
  <si>
    <t xml:space="preserve">GSTIN    -    07AXXXXXXXXF1Z3
Invoice Number Invoice Date IGST Paid(INR)
XXXXXXXXX069  2017-10-11  11441 </t>
  </si>
  <si>
    <t xml:space="preserve">AWB No. Gateway Port Gateway EGM No. Gateway EGM Date Gateway Site ID Error Code
N.A.  INNSA1  138710  2017-11-13 00:00:00.0  INNSA1  S </t>
  </si>
  <si>
    <t>2017/11/09</t>
  </si>
  <si>
    <t xml:space="preserve">IEC CHA No. Job No. Job Date Port of Discharge Total Package Gross Weight (Kg) FOB(INR) Total Cess (INR) Drawback STR Total (DBK+STR) CIN NO. CIN DT. Reward Flag
0515019372  BEEPS0785MCH001  7273642  09 NOV 2017 12:11  ITNPL  153  2662.45  806736.74  0  12289  0  12289  N.A.  N.A.  Click here to view item wise reward details </t>
  </si>
  <si>
    <t xml:space="preserve">EGM No. EGM Date Container No. Seal No. Error Message
TX207081311  2017-11-13 0.0.0.0  MSCU6791570  410437  N.A. </t>
  </si>
  <si>
    <t xml:space="preserve">GSTIN    -    07AXXXXXXXXH1ZA
Invoice Number Invoice Date IGST Paid(INR)
XXXXXXXXXXX-18  2017-11-03  46027 </t>
  </si>
  <si>
    <t xml:space="preserve">AWB No. Gateway Port Gateway EGM No. Gateway EGM Date Gateway Site ID Error Code
N.A.  INMUN1  139000  2017-11-17 00:00:00.0  INMUN1  S </t>
  </si>
  <si>
    <t xml:space="preserve">IEC CHA No. Job No. Job Date Port of Discharge Total Package Gross Weight (Kg) FOB(INR) Total Cess (INR) Drawback STR Total (DBK+STR) CIN NO. CIN DT. Reward Flag
0500075158  ADXPJ1610RCH001  7278026  09 NOV 2017 12:11  USBOS  7  78  206292.45  0  4126  0  4126  N.A.  N.A.  Click here to view item wise reward details </t>
  </si>
  <si>
    <t xml:space="preserve">EGM No. EGM Date Container No. Seal No. Error Message
R587241511  2017-11-15 0.0.0.0  TCLU9716714  410189  N.A. </t>
  </si>
  <si>
    <t xml:space="preserve">ROSL Availed Amount(INR) Scroll Number Scroll Date
Y  3300  25863/2017  2017-11-20 0.0.0.0 </t>
  </si>
  <si>
    <t xml:space="preserve">GSTIN    -    07AXXXXXXXXP3ZI
Invoice Number Invoice Date IGST Paid(INR)
XXXXXXXXXXXXXX-18  2017-11-01  10363 </t>
  </si>
  <si>
    <t xml:space="preserve">AWB No. Gateway Port Gateway EGM No. Gateway EGM Date Gateway Site ID Error Code
N.A.  INMUN1  138685  2017-11-13 00:00:00.0  INMUN1  S </t>
  </si>
  <si>
    <t xml:space="preserve">IEC CHA No. Job No. Job Date Port of Discharge Total Package Gross Weight (Kg) FOB(INR) Total Cess (INR) Drawback STR Total (DBK+STR) CIN NO. CIN DT. Reward Flag
0512057273  AABCR5347PCH001  7289922  09 NOV 2017 12:11  USHOU  114  2910  293944.92  0  4409  0  4409  N.A.  N.A.  Click here to view item wise reward details </t>
  </si>
  <si>
    <t xml:space="preserve">EGM No. EGM Date Container No. Seal No. Error Message
R897621811  2017-11-18 0.0.0.0  MRKU3131266  410718  N.A. </t>
  </si>
  <si>
    <t xml:space="preserve">GSTIN    -    06AXXXXXXXXN1ZW
Invoice Number Invoice Date IGST Paid(INR)
XXXXXXXXXXX057  2017-11-07  30668 </t>
  </si>
  <si>
    <t xml:space="preserve">AWB No. Gateway Port Gateway EGM No. Gateway EGM Date Gateway Site ID Error Code
N.A.  INPAV1  137989  2017-11-01 00:00:00.0  INPAV1  S </t>
  </si>
  <si>
    <t>2017/11/13</t>
  </si>
  <si>
    <t xml:space="preserve">IEC CHA No. Job No. Job Date Port of Discharge Total Package Gross Weight (Kg) FOB(INR) Total Cess (INR) Drawback STR Total (DBK+STR) CIN NO. CIN DT. Reward Flag
0504011057  AFBPM9459DCH001  7342938  13 NOV 2017 12:11  TJLBD  1514  21400  6950990.5  0  104265  0  104265  N.A.  N.A.  Click here to view item wise reward details </t>
  </si>
  <si>
    <t xml:space="preserve">Current Que LEO Date EP Copy Print Status DBK Scroll No Scroll Date EGM Integration Status
HIST  15 NOV 2017 00:11  Y  22753/2017  24 NOV 2017 00:11  Y </t>
  </si>
  <si>
    <t xml:space="preserve">EGM No. EGM Date Container No. Seal No. Error Message
T707501711  2017-11-17 0.0.0.0  GRMU4200324  410683  N.A. </t>
  </si>
  <si>
    <t xml:space="preserve">GSTIN    -    07AXXXXXXXXE1ZD
Invoice Number Invoice Date IGST Paid(INR)
XXXXXXXXXXX018  2017-11-04  521924 </t>
  </si>
  <si>
    <t xml:space="preserve">AWB No. Gateway Port Gateway EGM No. Gateway EGM Date Gateway Site ID Error Code
N.A.  INMUN1  139245  2017-11-21 00:00:00.0  INMUN1  S </t>
  </si>
  <si>
    <t>2017/11/16</t>
  </si>
  <si>
    <t xml:space="preserve">IEC CHA No. Job No. Job Date Port of Discharge Total Package Gross Weight (Kg) FOB(INR) Total Cess (INR) Drawback STR Total (DBK+STR) CIN NO. CIN DT. Reward Flag
5212012333  AAVCS2245KCH001  7425011  16 NOV 2017 12:11  AEJEA  86  1570  4408141.92  0  88163  0  88163  N.A.  N.A.  Click here to view item wise reward details </t>
  </si>
  <si>
    <t xml:space="preserve">Current Que LEO Date EP Copy Print Status DBK Scroll No Scroll Date EGM Integration Status
HIST  17 NOV 2017 00:11  Y  22753/2017  24 NOV 2017 00:11  Y </t>
  </si>
  <si>
    <t xml:space="preserve">EGM No. EGM Date Container No. Seal No. Error Message
R537902011  2017-11-20 0.0.0.0  FCIU8626623  411133  N.A. </t>
  </si>
  <si>
    <t xml:space="preserve">ROSL Availed Amount(INR) Scroll Number Scroll Date
Y  70617  25870/2017  2017-11-30 0.0.0.0 </t>
  </si>
  <si>
    <t xml:space="preserve">GSTIN    -    24AXXXXXXXXK1ZB
Invoice Number Invoice Date IGST Paid(INR)
XXXXXXXXXXXXXX-18  2017-11-15  86415 </t>
  </si>
  <si>
    <t xml:space="preserve">AWB No. Gateway Port Gateway EGM No. Gateway EGM Date Gateway Site ID Error Code
N.A.  INMUN1  139240  2017-11-21 00:00:00.0  INMUN1  S </t>
  </si>
  <si>
    <t xml:space="preserve">IEC CHA No. Job No. Job Date Port of Discharge Total Package Gross Weight (Kg) FOB(INR) Total Cess (INR) Drawback STR Total (DBK+STR) CIN NO. CIN DT. Reward Flag
0314004173  AEKPR9484FCH001  7445764  16 NOV 2017 12:11  KRBUS  8  12245  1535743.3  0  16893  0  16893  N.A.  N.A.  Click here to view item wise reward details </t>
  </si>
  <si>
    <t xml:space="preserve">Current Que LEO Date EP Copy Print Status DBK Scroll No Scroll Date EGM Integration Status
HIST  18 NOV 2017 00:11  Y  22850/2017  30 NOV 2017 00:11  Y </t>
  </si>
  <si>
    <t xml:space="preserve">EGM No. EGM Date Container No. Seal No. Error Message
R687342211  2017-11-22 0.0.0.0  DFSU6722642  411424  N.A. </t>
  </si>
  <si>
    <t xml:space="preserve">GSTIN    -    27AXXXXXXXXG1ZA
Invoice Number Invoice Date IGST Paid(INR)
XXXXXXXXXXX-18  2017-11-11  1193 </t>
  </si>
  <si>
    <t>2017/11/17</t>
  </si>
  <si>
    <t xml:space="preserve">IEC CHA No. Job No. Job Date Port of Discharge Total Package Gross Weight (Kg) FOB(INR) Total Cess (INR) Drawback STR Total (DBK+STR) CIN NO. CIN DT. Reward Flag
0588044440  AACCP0287DCH001  7459328  17 NOV 2017 12:11  CNTAO  1  150  31092.15  0  622  0  622  N.A.  N.A.  Click here to view item wise reward details </t>
  </si>
  <si>
    <t xml:space="preserve">Current Que LEO Date EP Copy Print Status DBK Scroll No Scroll Date EGM Integration Status
HIST  25 NOV 2017 00:11  Y  23003/2017  12 DEC 2017 00:12  Y </t>
  </si>
  <si>
    <t xml:space="preserve">EGM No. EGM Date Container No. Seal No. Error Message
R387640112  2017-12-1 0.0.0.0  BSIU2622058  4125002  N.A. </t>
  </si>
  <si>
    <t xml:space="preserve">GSTIN    -    06AXXXXXXXXF1ZQ
Invoice Number Invoice Date IGST Paid(INR)
XXXXXXXXX152  2017-11-09  8504 </t>
  </si>
  <si>
    <t xml:space="preserve">IEC CHA No. Job No. Job Date Port of Discharge Total Package Gross Weight (Kg) FOB(INR) Total Cess (INR) Drawback STR Total (DBK+STR) CIN NO. CIN DT. Reward Flag
0588044440  AACCP0287DCH001  7459451  17 NOV 2017 12:11  CNTAO  10  7278  1083421.48  0  21668  0  21668  N.A.  N.A.  Click here to view item wise reward details </t>
  </si>
  <si>
    <t xml:space="preserve">Current Que LEO Date EP Copy Print Status DBK Scroll No Scroll Date EGM Integration Status
HIST  28 NOV 2017 00:11  Y  23003/2017  12 DEC 2017 00:12  Y </t>
  </si>
  <si>
    <t xml:space="preserve">EGM No. EGM Date Container No. Seal No. Error Message
R387640112  2017-12-1 0.0.0.0  BSIU2622058  412502  N.A. </t>
  </si>
  <si>
    <t xml:space="preserve">GSTIN    -    06AXXXXXXXXF1ZQ
Invoice Number Invoice Date IGST Paid(INR)
XXXXXXXXX151  2017-11-09  296338 </t>
  </si>
  <si>
    <t>2017/11/20</t>
  </si>
  <si>
    <t xml:space="preserve">IEC CHA No. Job No. Job Date Port of Discharge Total Package Gross Weight (Kg) FOB(INR) Total Cess (INR) Drawback STR Total (DBK+STR) CIN NO. CIN DT. Reward Flag
0506012905  FHMPS1058ECH001  7523924  20 NOV 2017 12:11  MYPKG  30  25390  1221791.25  0  0  0  0  N.A.  N.A.  Click here to view item wise reward details </t>
  </si>
  <si>
    <t xml:space="preserve">Current Que LEO Date EP Copy Print Status DBK Scroll No Scroll Date EGM Integration Status
HIST  22 NOV 2017 00:11  Y  N.A.  N.A.  Y </t>
  </si>
  <si>
    <t xml:space="preserve">EGM No. EGM Date Container No. Seal No. Error Message
T847822511  2017-11-25 0.0.0.0  HJCU8397833  411554  N.A. </t>
  </si>
  <si>
    <t xml:space="preserve">GSTIN    -    07AXXXXXXXXP2Z7
Invoice Number Invoice Date IGST Paid(INR)
XXXXXXX003  2017-11-20  222797 </t>
  </si>
  <si>
    <t xml:space="preserve">AWB No. Gateway Port Gateway EGM No. Gateway EGM Date Gateway Site ID Error Code
N.A.  INNSA1  139142  2017-11-20 00:00:00.0  INNSA1  S </t>
  </si>
  <si>
    <t>2017/11/21</t>
  </si>
  <si>
    <t xml:space="preserve">IEC CHA No. Job No. Job Date Port of Discharge Total Package Gross Weight (Kg) FOB(INR) Total Cess (INR) Drawback STR Total (DBK+STR) CIN NO. CIN DT. Reward Flag
0507004761  AADCR9553KCH003  7532585  21 NOV 2017 12:11  KEMBA  3  1365  980400  0  19608  0  19608  N.A.  N.A.  Click here to view item wise reward details </t>
  </si>
  <si>
    <t xml:space="preserve">Current Que LEO Date EP Copy Print Status DBK Scroll No Scroll Date EGM Integration Status
HIST  24 NOV 2017 00:11  Y  23003/2017  12 DEC 2017 00:12  Y </t>
  </si>
  <si>
    <t xml:space="preserve">EGM No. EGM Date Container No. Seal No. Error Message
R437503011  2017-11-30 0.0.0.0  TCNU9920746  411975  N.A. </t>
  </si>
  <si>
    <t xml:space="preserve">GSTIN    -    09AXXXXXXXXM1ZH
Invoice Number Invoice Date IGST Paid(INR)
002  2017-11-20  176472 </t>
  </si>
  <si>
    <t xml:space="preserve">AWB No. Gateway Port Gateway EGM No. Gateway EGM Date Gateway Site ID Error Code
N.A.  INNSA1  137386  2017-10-23 00:00:00.0  INNSA1  S </t>
  </si>
  <si>
    <t xml:space="preserve">IEC CHA No. Job No. Job Date Port of Discharge Total Package Gross Weight (Kg) FOB(INR) Total Cess (INR) Drawback STR Total (DBK+STR) CIN NO. CIN DT. Reward Flag
0515015504  AHDPK8975CCH001  7543728  21 NOV 2017 12:11  SARUH  964  14303.76  5708637  0  114173  0  114173  N.A.  N.A.  Click here to view item wise reward details </t>
  </si>
  <si>
    <t xml:space="preserve">Current Que LEO Date EP Copy Print Status DBK Scroll No Scroll Date EGM Integration Status
HIST  24 NOV 2017 00:11  Y  22915/2017  05 DEC 2017 00:12  Y </t>
  </si>
  <si>
    <t xml:space="preserve">EGM No. EGM Date Container No. Seal No. Error Message
J167202811  2017-11-28 0.0.0.0  DFSU2200589  411827  N.A. </t>
  </si>
  <si>
    <t xml:space="preserve">GSTIN    -    07AXXXXXXXXQ2ZD
Invoice Number Invoice Date IGST Paid(INR)
01  2017-11-21  5678 </t>
  </si>
  <si>
    <t xml:space="preserve">AWB No. Gateway Port Gateway EGM No. Gateway EGM Date Gateway Site ID Error Code
N.A.  INMUN1  140712  2017-12-15 00:00:00.0  INMUN1  S </t>
  </si>
  <si>
    <t xml:space="preserve">IEC CHA No. Job No. Job Date Port of Discharge Total Package Gross Weight (Kg) FOB(INR) Total Cess (INR) Drawback STR Total (DBK+STR) CIN NO. CIN DT. Reward Flag
3091000621  AGVPS9920JCH001  7548095  21 NOV 2017 12:11  SARUH  142  5041  5898834.6  0  147226  0  147226  N.A.  N.A.  Click here to view item wise reward details </t>
  </si>
  <si>
    <t xml:space="preserve">Current Que LEO Date EP Copy Print Status DBK Scroll No Scroll Date EGM Integration Status
HIST  23 NOV 2017 00:11  Y  22915/2017  05 DEC 2017 00:12  Y </t>
  </si>
  <si>
    <t xml:space="preserve">EGM No. EGM Date Container No. Seal No. Error Message
R207722511  2017-11-25 0.0.0.0  MRSU3677223  411610  N.A. </t>
  </si>
  <si>
    <t xml:space="preserve">ROSL Availed Amount(INR) Scroll Number Scroll Date
Y  68426  25875/2017  2017-12-10 0.0.0.0 </t>
  </si>
  <si>
    <t xml:space="preserve">GSTIN    -    03AXXXXXXXXJ1Z2
Invoice Number Invoice Date IGST Paid(INR)
XXXXXXXXXX018  2017-11-16  295102 </t>
  </si>
  <si>
    <t xml:space="preserve">AWB No. Gateway Port Gateway EGM No. Gateway EGM Date Gateway Site ID Error Code
N.A.  INPAV1  137999  2017-11-01 00:00:00.0  INPAV1  S </t>
  </si>
  <si>
    <t>2017/11/22</t>
  </si>
  <si>
    <t xml:space="preserve">IEC CHA No. Job No. Job Date Port of Discharge Total Package Gross Weight (Kg) FOB(INR) Total Cess (INR) Drawback STR Total (DBK+STR) CIN NO. CIN DT. Reward Flag
0505000873  AOWPS6493KCH001  7556186  22 NOV 2017 12:11  THBKK  2  543.35  612417.83  0  11416  0  11416  N.A.  N.A.  Click here to view item wise reward details </t>
  </si>
  <si>
    <t xml:space="preserve">Current Que LEO Date EP Copy Print Status DBK Scroll No Scroll Date EGM Integration Status
HIST  23 NOV 2017 00:11  Y  22850/2017  30 NOV 2017 00:11  Y </t>
  </si>
  <si>
    <t xml:space="preserve">EGM No. EGM Date Container No. Seal No. Error Message
T847822511  2017-11-25 0.0.0.0  TCNU3363089  411483  N.A. </t>
  </si>
  <si>
    <t xml:space="preserve">GSTIN    -    07AXXXXXXXXB1ZS
Invoice Number Invoice Date IGST Paid(INR)
XXXXXXX017  2017-10-22  99523 </t>
  </si>
  <si>
    <t xml:space="preserve">AWB No. Gateway Port Gateway EGM No. Gateway EGM Date Gateway Site ID Error Code
N.A.  INNSA1  138641  2017-11-13 00:00:00.0  INNSA1  S </t>
  </si>
  <si>
    <t xml:space="preserve">IEC CHA No. Job No. Job Date Port of Discharge Total Package Gross Weight (Kg) FOB(INR) Total Cess (INR) Drawback STR Total (DBK+STR) CIN NO. CIN DT. Reward Flag
1414003447  AAACC6689ECH001  7565077  22 NOV 2017 12:11  CUHAV  20  120  541800  0  8127  0  8127  N.A.  N.A.  Click here to view item wise reward details </t>
  </si>
  <si>
    <t xml:space="preserve">Current Que LEO Date EP Copy Print Status DBK Scroll No Scroll Date EGM Integration Status
HIST  30 NOV 2017 00:11  Y  23003/2017  12 DEC 2017 00:12  Y </t>
  </si>
  <si>
    <t xml:space="preserve">EGM No. EGM Date Container No. Seal No. Error Message
T437060412  2017-12-4 0.0.0.0  KMTU7328622  412556  N.A. </t>
  </si>
  <si>
    <t xml:space="preserve">GSTIN    -    07AXXXXXXXXA1ZH
Invoice Number Invoice Date IGST Paid(INR)
XXXXXXXXXXXXXX365  2017-11-02  65520 </t>
  </si>
  <si>
    <t xml:space="preserve">AWB No. Gateway Port Gateway EGM No. Gateway EGM Date Gateway Site ID Error Code
N.A.  INMUN1  139344  2017-11-22 00:00:00.0  INMUN1  S </t>
  </si>
  <si>
    <t xml:space="preserve">IEC CHA No. Job No. Job Date Port of Discharge Total Package Gross Weight (Kg) FOB(INR) Total Cess (INR) Drawback STR Total (DBK+STR) CIN NO. CIN DT. Reward Flag
0500075158  ADXPJ1610RCH001  7567166  22 NOV 2017 12:11  USBOS  79  950  1855697.25  0  37114  0  37114  N.A.  N.A.  Click here to view item wise reward details </t>
  </si>
  <si>
    <t xml:space="preserve">Current Que LEO Date EP Copy Print Status DBK Scroll No Scroll Date EGM Integration Status
HIST  25 NOV 2017 00:11  Y  22915/2017  05 DEC 2017 00:12  Y </t>
  </si>
  <si>
    <t xml:space="preserve">EGM No. EGM Date Container No. Seal No. Error Message
TX187402911  2017-11-29 0.0.0.0  TRLU7427748  411957  N.A. </t>
  </si>
  <si>
    <t xml:space="preserve">ROSL Availed Amount(INR) Scroll Number Scroll Date
Y  31547  25875/2017  2017-12-10 0.0.0.0 </t>
  </si>
  <si>
    <t xml:space="preserve">GSTIN    -    07AXXXXXXXXP3ZI
Invoice Number Invoice Date IGST Paid(INR)
XXXXXXXXXXXXXX-18  2017-11-15  92061 </t>
  </si>
  <si>
    <t xml:space="preserve">IEC CHA No. Job No. Job Date Port of Discharge Total Package Gross Weight (Kg) FOB(INR) Total Cess (INR) Drawback STR Total (DBK+STR) CIN NO. CIN DT. Reward Flag
0509047491  AOWPS6493KCH001  7574201  22 NOV 2017 12:11  BDCGP  1000  9344.5  967500  0  14513  0  14513  N.A.  N.A.  Click here to view item wise reward details </t>
  </si>
  <si>
    <t xml:space="preserve">EGM No. EGM Date Container No. Seal No. Error Message
R627362911  2017-11-29 0.0.0.0  NYKU4799912  411945  N.A. </t>
  </si>
  <si>
    <t xml:space="preserve">GSTIN    -    07AXXXXXXXXE1Z3
Invoice Number Invoice Date IGST Paid(INR)
XXXXXXXX-18  2017-11-14  187200 </t>
  </si>
  <si>
    <t xml:space="preserve">AWB No. Gateway Port Gateway EGM No. Gateway EGM Date Gateway Site ID Error Code
N.A.  INNSA1  139138  2017-11-20 00:00:00.0  INNSA1  S </t>
  </si>
  <si>
    <t xml:space="preserve">IEC CHA No. Job No. Job Date Port of Discharge Total Package Gross Weight (Kg) FOB(INR) Total Cess (INR) Drawback STR Total (DBK+STR) CIN NO. CIN DT. Reward Flag
3307004344  AAAFA8105CCH001  7574720  22 NOV 2017 12:11  LKCMB  5  54.75  73530  0  1471  0  1471  N.A.  N.A.  Click here to view item wise reward details </t>
  </si>
  <si>
    <t xml:space="preserve">EGM No. EGM Date Container No. Seal No. Error Message
R627362911  2017-11-29 0.0.0.0  BMOU6253517  411954  N.A. </t>
  </si>
  <si>
    <t xml:space="preserve">GSTIN    -    06AXXXXXXXXG1ZC
Invoice Number Invoice Date IGST Paid(INR)
XXXXXXXXX/09  2017-11-22  13655 </t>
  </si>
  <si>
    <t xml:space="preserve">AWB No. Gateway Port Gateway EGM No. Gateway EGM Date Gateway Site ID Error Code
N.A.  INNSA1  138478  2017-11-09 00:00:00.0  INNSA1  S </t>
  </si>
  <si>
    <t xml:space="preserve">IEC CHA No. Job No. Job Date Port of Discharge Total Package Gross Weight (Kg) FOB(INR) Total Cess (INR) Drawback STR Total (DBK+STR) CIN NO. CIN DT. Reward Flag
0709012331  AACCN5026ECH007  7575851  22 NOV 2017 12:11  PACFZ  18  8427  4276460.94  0  85529  0  85529  N.A.  N.A.  Click here to view item wise reward details </t>
  </si>
  <si>
    <t xml:space="preserve">EGM No. EGM Date Container No. Seal No. Error Message
T967482311  2017-11-23 0.0.0.0  HASU1140092  003335  N.A. </t>
  </si>
  <si>
    <t xml:space="preserve">GSTIN    -    06AXXXXXXXXD1Z8
Invoice Number Invoice Date IGST Paid(INR)
XXXXXXXXXXXXXX038  2017-11-22  803179 </t>
  </si>
  <si>
    <t xml:space="preserve">AWB No. Gateway Port Gateway EGM No. Gateway EGM Date Gateway Site ID Error Code
N.A.  INMUN1  139513  2017-11-24 00:00:00.0  INMUN1  S </t>
  </si>
  <si>
    <t xml:space="preserve">IEC CHA No. Job No. Job Date Port of Discharge Total Package Gross Weight (Kg) FOB(INR) Total Cess (INR) Drawback STR Total (DBK+STR) CIN NO. CIN DT. Reward Flag
0598045783  FHMPS1058ECH001  7576325  22 NOV 2017 12:11  KEMBA  34  636  406995  0  0  0  0  N.A.  N.A.  Click here to view item wise reward details </t>
  </si>
  <si>
    <t xml:space="preserve">Current Que LEO Date EP Copy Print Status DBK Scroll No Scroll Date EGM Integration Status
HIST  25 NOV 2017 00:11  Y  N.A.  N.A.  Y </t>
  </si>
  <si>
    <t xml:space="preserve">EGM No. EGM Date Container No. Seal No. Error Message
T857541412  2017-12-14 0.0.0.0  CAIU3489047  413637  N.A. </t>
  </si>
  <si>
    <t xml:space="preserve">GSTIN    -    07AXXXXXXXXA1Z1
Invoice Number Invoice Date IGST Paid(INR)
XXXXXXXXXXXXXX-18  2017-11-16  46512 </t>
  </si>
  <si>
    <t xml:space="preserve">AWB No. Gateway Port Gateway EGM No. Gateway EGM Date Gateway Site ID Error Code
N.A.  INMUN1  140625  2017-12-13 00:00:00.0  INMUN1  S </t>
  </si>
  <si>
    <t>2017/11/23</t>
  </si>
  <si>
    <t xml:space="preserve">IEC CHA No. Job No. Job Date Port of Discharge Total Package Gross Weight (Kg) FOB(INR) Total Cess (INR) Drawback STR Total (DBK+STR) CIN NO. CIN DT. Reward Flag
0595059040  AAGCA1465QCH001  7595016  23 NOV 2017 12:11  THBKK  50  2690.27  736994.88  0  14250  0  14250  N.A.  N.A.  Click here to view item wise reward details </t>
  </si>
  <si>
    <t xml:space="preserve">Current Que LEO Date EP Copy Print Status DBK Scroll No Scroll Date EGM Integration Status
HIST  28 NOV 2017 00:11  Y  24208/2018  09 MAR 2018 00:03  Y </t>
  </si>
  <si>
    <t xml:space="preserve">EGM No. EGM Date Container No. Seal No. Error Message
J197640912  2017-12-9 0.0.0.0  NYKU3801471  413243  N.A. </t>
  </si>
  <si>
    <t xml:space="preserve">GSTIN    -    07AXXXXXXXXC1ZF
Invoice Number Invoice Date IGST Paid(INR)
X061  2017-11-22  2065 </t>
  </si>
  <si>
    <t xml:space="preserve">IEC CHA No. Job No. Job Date Port of Discharge Total Package Gross Weight (Kg) FOB(INR) Total Cess (INR) Drawback STR Total (DBK+STR) CIN NO. CIN DT. Reward Flag
0592023052  AACCP0287DCH001  7603656  23 NOV 2017 12:11  TRAMB  5  2530  429786.56  0  8596  0  8596  N.A.  N.A.  Click here to view item wise reward details </t>
  </si>
  <si>
    <t xml:space="preserve">EGM No. EGM Date Container No. Seal No. Error Message
R627362911  2017-11-29 0.0.0.0  TRLU6853517  411953  N.A. </t>
  </si>
  <si>
    <t xml:space="preserve">GSTIN    -    06AXXXXXXXXE4ZU
Invoice Number Invoice Date IGST Paid(INR)
XXXXXXXXXXXXXX-18  2017-11-20  77361 </t>
  </si>
  <si>
    <t xml:space="preserve">AWB No. Gateway Port Gateway EGM No. Gateway EGM Date Gateway Site ID Error Code
N.A.  INNSA1  139301  2017-11-22 00:00:00.0  INNSA1  S </t>
  </si>
  <si>
    <t>2017/11/27</t>
  </si>
  <si>
    <t xml:space="preserve">IEC CHA No. Job No. Job Date Port of Discharge Total Package Gross Weight (Kg) FOB(INR) Total Cess (INR) Drawback STR Total (DBK+STR) CIN NO. CIN DT. Reward Flag
0504011057  AFBPM9459DCH001  7677446  27 NOV 2017 12:11  UZSKD  1196  15600  5296337.45  0  65964  0  65964  N.A.  N.A.  Click here to view item wise reward details </t>
  </si>
  <si>
    <t xml:space="preserve">EGM No. EGM Date Container No. Seal No. Error Message
R557523011  2017-11-30 0.0.0.0  TCNU9933281  412225  N.A. </t>
  </si>
  <si>
    <t xml:space="preserve">GSTIN    -    07AXXXXXXXXE1ZD
Invoice Number Invoice Date IGST Paid(INR)
XXXXXXXXXXX018  2017-11-27  226947 </t>
  </si>
  <si>
    <t xml:space="preserve">AWB No. Gateway Port Gateway EGM No. Gateway EGM Date Gateway Site ID Error Code
N.A.  INMUN1  140199  2017-12-06 00:00:00.0  INMUN1  S </t>
  </si>
  <si>
    <t>2017/11/28</t>
  </si>
  <si>
    <t xml:space="preserve">IEC CHA No. Job No. Job Date Port of Discharge Total Package Gross Weight (Kg) FOB(INR) Total Cess (INR) Drawback STR Total (DBK+STR) CIN NO. CIN DT. Reward Flag
0589043838  AAEFH1939HCH001  7690243  28 NOV 2017 12:11  KEMBA  32  1450  797394.15  0  11926  0  11926  N.A.  N.A.  Click here to view item wise reward details </t>
  </si>
  <si>
    <t xml:space="preserve">Current Que LEO Date EP Copy Print Status DBK Scroll No Scroll Date EGM Integration Status
HIST  30 NOV 2017 00:11  Y  24432/2018  25 MAR 2018 00:03  Y </t>
  </si>
  <si>
    <t xml:space="preserve">EGM No. EGM Date Container No. Seal No. Error Message
R337800212  2017-12-2 0.0.0.0  FCIU8321732  412535  N.A. </t>
  </si>
  <si>
    <t xml:space="preserve">GSTIN    -    07AXXXXXXXXL1Z4
Invoice Number Invoice Date IGST Paid(INR)
XXXXXXXXXXXXX425  2017-11-17  98557 </t>
  </si>
  <si>
    <t xml:space="preserve">AWB No. Gateway Port Gateway EGM No. Gateway EGM Date Gateway Site ID Error Code
N.A.  INNSA1  139557  2017-11-27 00:00:00.0  INNSA1  S </t>
  </si>
  <si>
    <t xml:space="preserve">IEC CHA No. Job No. Job Date Port of Discharge Total Package Gross Weight (Kg) FOB(INR) Total Cess (INR) Drawback STR Total (DBK+STR) CIN NO. CIN DT. Reward Flag
0507051360  AAAFJ1721HCH058  7702003  28 NOV 2017 12:11  THBKK  2  300  386600.1  0  806  0  806  N.A.  N.A.  Click here to view item wise reward details </t>
  </si>
  <si>
    <t xml:space="preserve">Current Que LEO Date EP Copy Print Status DBK Scroll No Scroll Date EGM Integration Status
HIST  29 NOV 2017 00:11  Y  24432/2018  25 MAR 2018 00:03  Y </t>
  </si>
  <si>
    <t xml:space="preserve">EGM No. EGM Date Container No. Seal No. Error Message
R27220612  2017-12-6 0.0.0.0  ZCSU2713253  412560  N.A. </t>
  </si>
  <si>
    <t xml:space="preserve">GSTIN    -    06AXXXXXXXXR2ZO
Invoice Number Invoice Date IGST Paid(INR)
XXXXXXXXXXXXX792  2017-11-28  69994 </t>
  </si>
  <si>
    <t xml:space="preserve">AWB No. Gateway Port Gateway EGM No. Gateway EGM Date Gateway Site ID Error Code
N.A.  INNSA1  139647  2017-11-28 00:00:00.0  INNSA1  S </t>
  </si>
  <si>
    <t xml:space="preserve">IEC CHA No. Job No. Job Date Port of Discharge Total Package Gross Weight (Kg) FOB(INR) Total Cess (INR) Drawback STR Total (DBK+STR) CIN NO. CIN DT. Reward Flag
0592006832  AAACC6689ECH001  7707559  28 NOV 2017 12:11  SRPBM  43  994.5  454005.83  0  0  0  0  N.A.  N.A.  Click here to view item wise reward details </t>
  </si>
  <si>
    <t xml:space="preserve">Current Que LEO Date EP Copy Print Status DBK Scroll No Scroll Date EGM Integration Status
HIST  01 DEC 2017 00:12  Y  N.A.  N.A.  Y </t>
  </si>
  <si>
    <t xml:space="preserve">EGM No. EGM Date Container No. Seal No. Error Message
J197640912  2017-12-9 0.0.0.0  TCKU1680074  413213  N.A. </t>
  </si>
  <si>
    <t xml:space="preserve">GSTIN    -    07AXXXXXXXXN1ZH
Invoice Number Invoice Date IGST Paid(INR)
XXXXXXXXXXX-18  2017-11-15  42400 </t>
  </si>
  <si>
    <t xml:space="preserve">AWB No. Gateway Port Gateway EGM No. Gateway EGM Date Gateway Site ID Error Code
N.A.  INNSA1  139757  2017-11-29 00:00:00.0  INNSA1  S </t>
  </si>
  <si>
    <t>2017/11/29</t>
  </si>
  <si>
    <t xml:space="preserve">IEC CHA No. Job No. Job Date Port of Discharge Total Package Gross Weight (Kg) FOB(INR) Total Cess (INR) Drawback STR Total (DBK+STR) CIN NO. CIN DT. Reward Flag
0510019439  AACCP0287DCH001  7716769  29 NOV 2017 12:11  USCLE  720  18150  232200  0  0  0  0  N.A.  N.A.  Click here to view item wise reward details </t>
  </si>
  <si>
    <t xml:space="preserve">Current Que LEO Date EP Copy Print Status DBK Scroll No Scroll Date EGM Integration Status
HIST  04 DEC 2017 00:12  Y  N.A.  N.A.  Y </t>
  </si>
  <si>
    <t xml:space="preserve">EGM No. EGM Date Container No. Seal No. Error Message
J167401312  2017-12-13 0.0.0.0  HLBU1738246  413562  N.A. </t>
  </si>
  <si>
    <t xml:space="preserve">GSTIN    -    06AXXXXXXXXE1ZC
Invoice Number Invoice Date IGST Paid(INR)
XXXXXXXXXXXXXO/1  2017-11-15  41472 </t>
  </si>
  <si>
    <t xml:space="preserve">AWB No. Gateway Port Gateway EGM No. Gateway EGM Date Gateway Site ID Error Code
N.A.  INMUN1  141045  2017-12-20 00:00:00.0  INMUN1  S </t>
  </si>
  <si>
    <t xml:space="preserve">IEC CHA No. Job No. Job Date Port of Discharge Total Package Gross Weight (Kg) FOB(INR) Total Cess (INR) Drawback STR Total (DBK+STR) CIN NO. CIN DT. Reward Flag
0515933520  AAFCS0723ACH002  7732118  29 NOV 2017 12:11  TZDAR  17  639.71  218143.52  0  3200  0  3200  N.A.  N.A.  Click here to view item wise reward details </t>
  </si>
  <si>
    <t xml:space="preserve">Current Que LEO Date EP Copy Print Status DBK Scroll No Scroll Date EGM Integration Status
HIST  04 DEC 2017 00:12  Y  23143/2017  22 DEC 2017 00:12  Y </t>
  </si>
  <si>
    <t xml:space="preserve">EGM No. EGM Date Container No. Seal No. Error Message
J287881012  2017-12-10 0.0.0.0  GLDU7366712  413279  N.A. </t>
  </si>
  <si>
    <t xml:space="preserve">GSTIN    -    06AXXXXXXXXN1ZN
Invoice Number Invoice Date IGST Paid(INR)
010  2017-11-28  39231 </t>
  </si>
  <si>
    <t xml:space="preserve">AWB No. Gateway Port Gateway EGM No. Gateway EGM Date Gateway Site ID Error Code
N.A.  INNSA1  138234  2017-11-06 00:00:00.0  INNSA1  S </t>
  </si>
  <si>
    <t xml:space="preserve">IEC CHA No. Job No. Job Date Port of Discharge Total Package Gross Weight (Kg) FOB(INR) Total Cess (INR) Drawback STR Total (DBK+STR) CIN NO. CIN DT. Reward Flag
0514078901  AABCT9850BCH003  7734839  29 NOV 2017 12:11  LKCMB  1  1102  1352758.5  0  0  0  0  N.A.  N.A.  Click here to view item wise reward details </t>
  </si>
  <si>
    <t xml:space="preserve">Current Que LEO Date EP Copy Print Status DBK Scroll No Scroll Date EGM Integration Status
HIST  04 DEC 2017 00:12  R  N.A.  N.A.  Y </t>
  </si>
  <si>
    <t xml:space="preserve">EGM No. EGM Date Container No. Seal No. Error Message
T417621512  2017-12-15 0.0.0.0  CLKU5008455  413649  N.A. </t>
  </si>
  <si>
    <t xml:space="preserve">GSTIN    -    06AXXXXXXXXP1ZP
Invoice Number Invoice Date IGST Paid(INR)
XXXXXXXXXXXXXX134  2017-11-15  243493 </t>
  </si>
  <si>
    <t xml:space="preserve">IEC CHA No. Job No. Job Date Port of Discharge Total Package Gross Weight (Kg) FOB(INR) Total Cess (INR) Drawback STR Total (DBK+STR) CIN NO. CIN DT. Reward Flag
0514078901  AABCT9850BCH003  7734853  29 NOV 2017 12:11  LKCMB  2  1032  2022075  0  0  0  0  N.A.  N.A.  Click here to view item wise reward details </t>
  </si>
  <si>
    <t xml:space="preserve">GSTIN    -    06AXXXXXXXXP1ZP
Invoice Number Invoice Date IGST Paid(INR)
XXXXXXXXXXXXXX133  2017-11-24  363971 </t>
  </si>
  <si>
    <t xml:space="preserve">IEC CHA No. Job No. Job Date Port of Discharge Total Package Gross Weight (Kg) FOB(INR) Total Cess (INR) Drawback STR Total (DBK+STR) CIN NO. CIN DT. Reward Flag
0511068212  AHDPK8975CCH001  7734955  29 NOV 2017 12:11  BDCGP  400  4000  603075  0  905  0  905  N.A.  N.A.  Click here to view item wise reward details </t>
  </si>
  <si>
    <t xml:space="preserve">Current Que LEO Date EP Copy Print Status DBK Scroll No Scroll Date EGM Integration Status
HIST  06 DEC 2017 00:12  Y  23043/2017  15 DEC 2017 00:12  Y </t>
  </si>
  <si>
    <t xml:space="preserve">EGM No. EGM Date Container No. Seal No. Error Message
R1237121212  2017-12-12 0.0.0.0  MXCU0013026  413549  N.A. </t>
  </si>
  <si>
    <t xml:space="preserve">GSTIN    -    07AXXXXXXXXH1ZW
Invoice Number Invoice Date IGST Paid(INR)
XXXXXXE03  2017-11-28  112320 </t>
  </si>
  <si>
    <t xml:space="preserve">AWB No. Gateway Port Gateway EGM No. Gateway EGM Date Gateway Site ID Error Code
N.A.  INNSA1  139773  2017-11-29 00:00:00.0  INNSA1  S </t>
  </si>
  <si>
    <t>2017/11/30</t>
  </si>
  <si>
    <t xml:space="preserve">IEC CHA No. Job No. Job Date Port of Discharge Total Package Gross Weight (Kg) FOB(INR) Total Cess (INR) Drawback STR Total (DBK+STR) CIN NO. CIN DT. Reward Flag
3393002155  AAACU5306LCH002  7747640  30 NOV 2017 12:11  USNYC  1  267.6  191565  0  1164  0  1164  N.A.  N.A.  Click here to view item wise reward details </t>
  </si>
  <si>
    <t xml:space="preserve">Current Que LEO Date EP Copy Print Status DBK Scroll No Scroll Date EGM Integration Status
HIST  04 DEC 2017 00:12  Y  23043/2017  15 DEC 2017 00:12  Y </t>
  </si>
  <si>
    <t xml:space="preserve">EGM No. EGM Date Container No. Seal No. Error Message
J277400712  2017-12-7 0.0.0.0  CAIU9937278  412596  N.A. </t>
  </si>
  <si>
    <t xml:space="preserve">GSTIN    -    06AXXXXXXXXC2Z2
Invoice Number Invoice Date IGST Paid(INR)
XXXXX025  2017-11-16  34481700 </t>
  </si>
  <si>
    <t xml:space="preserve">AWB No. Gateway Port Gateway EGM No. Gateway EGM Date Gateway Site ID Error Code
N.A.  INMUN1  138172  2017-11-03 00:00:00.0  INMUN1  S </t>
  </si>
  <si>
    <t xml:space="preserve">IEC CHA No. Job No. Job Date Port of Discharge Total Package Gross Weight (Kg) FOB(INR) Total Cess (INR) Drawback STR Total (DBK+STR) CIN NO. CIN DT. Reward Flag
3003005391  AAJFT3321JCH001  7760698  30 NOV 2017 12:11  LKCMB  301  6597.4  1783360.5  0  15199  0  15199  N.A.  N.A.  Click here to view item wise reward details </t>
  </si>
  <si>
    <t xml:space="preserve">Current Que LEO Date EP Copy Print Status DBK Scroll No Scroll Date EGM Integration Status
HIST  01 DEC 2017 00:12  Y  23003/2017  12 DEC 2017 00:12  Y </t>
  </si>
  <si>
    <t xml:space="preserve">EGM No. EGM Date Container No. Seal No. Error Message
R1237200512  2017-12-5 0.0.0.0  DFSU2225340  412619  N.A. </t>
  </si>
  <si>
    <t xml:space="preserve">GSTIN    -    02AXXXXXXXXR2Z6
Invoice Number Invoice Date IGST Paid(INR)
XXXXXXXXXXXXXX25/  2017-11-29  1841 </t>
  </si>
  <si>
    <t xml:space="preserve">AWB No. Gateway Port Gateway EGM No. Gateway EGM Date Gateway Site ID Error Code
N.A.  INPAV1  139653  2017-11-28 00:00:00.0  INPAV1  S </t>
  </si>
  <si>
    <t xml:space="preserve">IEC CHA No. Job No. Job Date Port of Discharge Total Package Gross Weight (Kg) FOB(INR) Total Cess (INR) Drawback STR Total (DBK+STR) CIN NO. CIN DT. Reward Flag
0500075158  ADXPJ1610RCH001  7762461  30 NOV 2017 12:11  USBOS  19  215  219493.5  0  3781  0  3781  N.A.  N.A.  Click here to view item wise reward details </t>
  </si>
  <si>
    <t xml:space="preserve">EGM No. EGM Date Container No. Seal No. Error Message
R577300612  2017-12-6 0.0.0.0  CMAU4390576  412582  N.A. </t>
  </si>
  <si>
    <t xml:space="preserve">ROSL Availed Amount(INR) Scroll Number Scroll Date
Y  3512  25875/2017  2017-12-10 0.0.0.0 </t>
  </si>
  <si>
    <t xml:space="preserve">GSTIN    -    07AXXXXXXXXP3ZI
Invoice Number Invoice Date IGST Paid(INR)
XXXXXXXXXXXXXX-18  2017-11-19  10889 </t>
  </si>
  <si>
    <t xml:space="preserve">IEC CHA No. Job No. Job Date Port of Discharge Total Package Gross Weight (Kg) FOB(INR) Total Cess (INR) Drawback STR Total (DBK+STR) CIN NO. CIN DT. Reward Flag
0500075158  ADXPJ1610RCH001  7762485  30 NOV 2017 12:11  USBOS  12  158  209012.25  0  4180  0  4180  N.A.  N.A.  Click here to view item wise reward details </t>
  </si>
  <si>
    <t xml:space="preserve">ROSL Availed Amount(INR) Scroll Number Scroll Date
Y  3344  25875/2017  2017-12-10 0.0.0.0 </t>
  </si>
  <si>
    <t xml:space="preserve">GSTIN    -    07AXXXXXXXXP3ZI
Invoice Number Invoice Date IGST Paid(INR)
XXXXXXXXXXXXXX-18  2017-11-28  10369 </t>
  </si>
  <si>
    <t xml:space="preserve">IEC CHA No. Job No. Job Date Port of Discharge Total Package Gross Weight (Kg) FOB(INR) Total Cess (INR) Drawback STR Total (DBK+STR) CIN NO. CIN DT. Reward Flag
0509003061  AADCR9553KCH003  7765508  30 NOV 2017 12:11  MXATM  1  395  401125.5  0  5780  0  5780  N.A.  N.A.  Click here to view item wise reward details </t>
  </si>
  <si>
    <t xml:space="preserve">Current Que LEO Date EP Copy Print Status DBK Scroll No Scroll Date EGM Integration Status
HIST  05 DEC 2017 00:12  Y  23003/2017  12 DEC 2017 00:12  Y </t>
  </si>
  <si>
    <t xml:space="preserve">EGM No. EGM Date Container No. Seal No. Error Message
T907240612  2017-12-6 0.0.0.0  HAMU1019978  001176  N.A. </t>
  </si>
  <si>
    <t xml:space="preserve">GSTIN    -    06AXXXXXXXXK1ZV
Invoice Number Invoice Date IGST Paid(INR)
XXXXXXXXXX216  2017-11-24  446822 </t>
  </si>
  <si>
    <t xml:space="preserve">AWB No. Gateway Port Gateway EGM No. Gateway EGM Date Gateway Site ID Error Code
N.A.  INMUN1  138681  2017-11-13 00:00:00.0  INMUN1  S </t>
  </si>
  <si>
    <t xml:space="preserve">IEC CHA No. Job No. Job Date Port of Discharge Total Package Gross Weight (Kg) FOB(INR) Total Cess (INR) Drawback STR Total (DBK+STR) CIN NO. CIN DT. Reward Flag
0509003061  AADCR9553KCH003  7767682  30 NOV 2017 12:11  MXATM  16  4560  7457793.15  0  66470  0  66470  N.A.  N.A.  Click here to view item wise reward details </t>
  </si>
  <si>
    <t xml:space="preserve">Current Que LEO Date EP Copy Print Status DBK Scroll No Scroll Date EGM Integration Status
HIST  05 DEC 2017 00:12  Y  24432/2018  25 MAR 2018 00:03  Y </t>
  </si>
  <si>
    <t xml:space="preserve">GSTIN    -    06AXXXXXXXXK1ZV
Invoice Number Invoice Date IGST Paid(INR)
XXXXXXXXXX215  2017-11-24  1787288 </t>
  </si>
  <si>
    <t xml:space="preserve">AWB No. Gateway Port Gateway EGM No. Gateway EGM Date Gateway Site ID Error Code
N.A.  INMUN1  138991  2017-11-17 00:00:00.0  INMUN1  S </t>
  </si>
  <si>
    <t xml:space="preserve">IEC CHA No. Job No. Job Date Port of Discharge Total Package Gross Weight (Kg) FOB(INR) Total Cess (INR) Drawback STR Total (DBK+STR) CIN NO. CIN DT. Reward Flag
0512064172  AKMPA9089KCH001  7768027  30 NOV 2017 12:11  AEJEA  24  1000  1993836.32  0  41725  0  41725  N.A.  N.A.  Click here to view item wise reward details </t>
  </si>
  <si>
    <t xml:space="preserve">Current Que LEO Date EP Copy Print Status DBK Scroll No Scroll Date EGM Integration Status
HIST  04 DEC 2017 00:12  Y  23003/2017  12 DEC 2017 00:12  Y </t>
  </si>
  <si>
    <t xml:space="preserve">EGM No. EGM Date Container No. Seal No. Error Message
J277400712  2017-12-7 0.0.0.0  CAXU8229337  413201  N.A. </t>
  </si>
  <si>
    <t xml:space="preserve">ROSL Availed Amount(INR) Scroll Number Scroll Date
Y  26390  25879/2017  2017-12-20 0.0.0.0 </t>
  </si>
  <si>
    <t xml:space="preserve">GSTIN    -    07AXXXXXXXXK1Z2
Invoice Number Invoice Date IGST Paid(INR)
XXXXXXXXXX201  2017-11-25  108705 </t>
  </si>
  <si>
    <t xml:space="preserve">AWB No. Gateway Port Gateway EGM No. Gateway EGM Date Gateway Site ID Error Code
N.A.  INMUN1  140232  2017-12-07 00:00:00.0  INMUN1  S </t>
  </si>
  <si>
    <t xml:space="preserve">IEC CHA No. Job No. Job Date Port of Discharge Total Package Gross Weight (Kg) FOB(INR) Total Cess (INR) Drawback STR Total (DBK+STR) CIN NO. CIN DT. Reward Flag
0513021612  AEOPA9390KCH001  7768840  30 NOV 2017 12:11  MUPLU  64  1072  564385.32  0  11074  0  11074  N.A.  N.A.  Click here to view item wise reward details </t>
  </si>
  <si>
    <t xml:space="preserve">EGM No. EGM Date Container No. Seal No. Error Message
J197640912  2017-12-9 0.0.0.0  VSTU9000091  413278  N.A. </t>
  </si>
  <si>
    <t xml:space="preserve">GSTIN    -    07AXXXXXXXXF2ZV
Invoice Number Invoice Date IGST Paid(INR)
XXXXXXXXXXXXXXT36  2017-11-28  101578 </t>
  </si>
  <si>
    <t xml:space="preserve">AWB No. Gateway Port Gateway EGM No. Gateway EGM Date Gateway Site ID Error Code
N.A.  INNSA1  139792  2017-11-30 00:00:00.0  INNSA1  S </t>
  </si>
  <si>
    <t>2017/12/01</t>
  </si>
  <si>
    <t xml:space="preserve">IEC CHA No. Job No. Job Date Port of Discharge Total Package Gross Weight (Kg) FOB(INR) Total Cess (INR) Drawback STR Total (DBK+STR) CIN NO. CIN DT. Reward Flag
0516526065  AADCA0273BCH001  7783051  01 DEC 2017 12:12  USDAL  168  1974.3  335390.33  0  6334  0  6334  N.A.  N.A.  Click here to view item wise reward details </t>
  </si>
  <si>
    <t xml:space="preserve">EGM No. EGM Date Container No. Seal No. Error Message
R957620812  2017-12-8 0.0.0.0  MRKU8210434  413245  N.A. </t>
  </si>
  <si>
    <t xml:space="preserve">GSTIN    -    07DXXXXXXXXL1ZP
Invoice Number Invoice Date IGST Paid(INR)
XXXXXXXXXXXXXX-18  2017-11-29  64076 </t>
  </si>
  <si>
    <t xml:space="preserve">AWB No. Gateway Port Gateway EGM No. Gateway EGM Date Gateway Site ID Error Code
N.A.  INPAV1  139963  2017-12-04 00:00:00.0  INPAV1  S </t>
  </si>
  <si>
    <t xml:space="preserve">IEC CHA No. Job No. Job Date Port of Discharge Total Package Gross Weight (Kg) FOB(INR) Total Cess (INR) Drawback STR Total (DBK+STR) CIN NO. CIN DT. Reward Flag
0504077104  AASPK9028QCH001  7788226  01 DEC 2017 12:12  CHZRH  21  1385  312647.4  0  6878  0  6878  N.A.  N.A.  Click here to view item wise reward details </t>
  </si>
  <si>
    <t xml:space="preserve">Current Que LEO Date EP Copy Print Status DBK Scroll No Scroll Date EGM Integration Status
HIST  07 DEC 2017 00:12  Y  23143/2017  22 DEC 2017 00:12  Y </t>
  </si>
  <si>
    <t xml:space="preserve">EGM No. EGM Date Container No. Seal No. Error Message
J177821612  2017-12-16 0.0.0.0  TCNU9183314  414208  N.A. </t>
  </si>
  <si>
    <t xml:space="preserve">GSTIN    -    07AXXXXXXXXH1ZD
Invoice Number Invoice Date IGST Paid(INR)
XXXXXXXXXXXXX018  2017-11-27  38804 </t>
  </si>
  <si>
    <t xml:space="preserve">AWB No. Gateway Port Gateway EGM No. Gateway EGM Date Gateway Site ID Error Code
N.A.  INMUN1  140925  2017-12-19 00:00:00.0  INMUN1  S </t>
  </si>
  <si>
    <t xml:space="preserve">IEC CHA No. Job No. Job Date Port of Discharge Total Package Gross Weight (Kg) FOB(INR) Total Cess (INR) Drawback STR Total (DBK+STR) CIN NO. CIN DT. Reward Flag
0588062359  AEEPG2440LCH001  7792284  01 DEC 2017 12:12  CAMTR  6  65  124333.92  0  2487  0  2487  N.A.  N.A.  Click here to view item wise reward details </t>
  </si>
  <si>
    <t xml:space="preserve">EGM No. EGM Date Container No. Seal No. Error Message
R27741512  2017-12-15 0.0.0.0  TGHU7862323  413688  N.A. </t>
  </si>
  <si>
    <t xml:space="preserve">ROSL Availed Amount(INR) Scroll Number Scroll Date
Y  2114  25879/2017  2017-12-20 0.0.0.0 </t>
  </si>
  <si>
    <t xml:space="preserve">GSTIN    -    06AXXXXXXXXM1Z2
Invoice Number Invoice Date IGST Paid(INR)
XXXXXXXXX8RG  2017-11-27  6216 </t>
  </si>
  <si>
    <t xml:space="preserve">AWB No. Gateway Port Gateway EGM No. Gateway EGM Date Gateway Site ID Error Code
N.A.  INNSA1  140047  2017-12-05 00:00:00.0  INNSA1  S </t>
  </si>
  <si>
    <t xml:space="preserve">IEC CHA No. Job No. Job Date Port of Discharge Total Package Gross Weight (Kg) FOB(INR) Total Cess (INR) Drawback STR Total (DBK+STR) CIN NO. CIN DT. Reward Flag
0588062359  AEEPG2440LCH001  7792296  01 DEC 2017 12:12  USNYC  2  21  46557.5  0  0  0  0  N.A.  N.A.  Click here to view item wise reward details </t>
  </si>
  <si>
    <t xml:space="preserve">Current Que LEO Date EP Copy Print Status DBK Scroll No Scroll Date EGM Integration Status
HIST  07 DEC 2017 00:12  Y  N.A.  N.A.  Y </t>
  </si>
  <si>
    <t xml:space="preserve">ROSL Availed Amount(INR) Scroll Number Scroll Date
Y  0  YET TO BE GENERATED  YET TO BE GENERATED </t>
  </si>
  <si>
    <t xml:space="preserve">GSTIN    -    06AXXXXXXXXM1Z2
Invoice Number Invoice Date IGST Paid(INR)
XXXXXXXXX8RG  2017-11-18  2327 </t>
  </si>
  <si>
    <t xml:space="preserve">IEC CHA No. Job No. Job Date Port of Discharge Total Package Gross Weight (Kg) FOB(INR) Total Cess (INR) Drawback STR Total (DBK+STR) CIN NO. CIN DT. Reward Flag
0588062359  AEEPG2440LCH001  7792342  01 DEC 2017 12:12  CAMTR  2  21  46557.5  0  0  0  0  N.A.  N.A.  Click here to view item wise reward details </t>
  </si>
  <si>
    <t>2017/12/04</t>
  </si>
  <si>
    <t xml:space="preserve">IEC CHA No. Job No. Job Date Port of Discharge Total Package Gross Weight (Kg) FOB(INR) Total Cess (INR) Drawback STR Total (DBK+STR) CIN NO. CIN DT. Reward Flag
0516954725  AVAPS6694RCH001  7826882  04 DEC 2017 12:12  OMSOH  20  670  492780  0  0  0  0  N.A.  N.A.  Click here to view item wise reward details </t>
  </si>
  <si>
    <t xml:space="preserve">Current Que LEO Date EP Copy Print Status DBK Scroll No Scroll Date EGM Integration Status
HIST  06 DEC 2017 00:12  Y  N.A.  N.A.  Y </t>
  </si>
  <si>
    <t xml:space="preserve">EGM No. EGM Date Container No. Seal No. Error Message
J287881012  2017-12-10 0.0.0.0  GESU5079213  413264  N.A. </t>
  </si>
  <si>
    <t xml:space="preserve">GSTIN    -    07AXXXXXXXXH1ZZ
Invoice Number Invoice Date IGST Paid(INR)
XXXXXXXX155  2017-11-10  86378 </t>
  </si>
  <si>
    <t xml:space="preserve">AWB No. Gateway Port Gateway EGM No. Gateway EGM Date Gateway Site ID Error Code
N.A.  INNSA1  140041  2017-12-05 00:00:00.0  INNSA1  S </t>
  </si>
  <si>
    <t xml:space="preserve">IEC CHA No. Job No. Job Date Port of Discharge Total Package Gross Weight (Kg) FOB(INR) Total Cess (INR) Drawback STR Total (DBK+STR) CIN NO. CIN DT. Reward Flag
0588062359  AEEPG2440LCH001  7833526  04 DEC 2017 12:12  USNYC  8  93  181320.3  0  3626  0  3626  N.A.  N.A.  Click here to view item wise reward details </t>
  </si>
  <si>
    <t xml:space="preserve">ROSL Availed Amount(INR) Scroll Number Scroll Date
Y  3082  25879/2017  2017-12-20 0.0.0.0 </t>
  </si>
  <si>
    <t xml:space="preserve">GSTIN    -    06AXXXXXXXXM1Z2
Invoice Number Invoice Date IGST Paid(INR)
XXXXXXXXX8RG  2017-11-28  9066 </t>
  </si>
  <si>
    <t xml:space="preserve">IEC CHA No. Job No. Job Date Port of Discharge Total Package Gross Weight (Kg) FOB(INR) Total Cess (INR) Drawback STR Total (DBK+STR) CIN NO. CIN DT. Reward Flag
0588062359  AEEPG2440LCH001  7834610  04 DEC 2017 12:12  USNYC  4  43  97770.75  0  882  0  882  N.A.  N.A.  Click here to view item wise reward details </t>
  </si>
  <si>
    <t xml:space="preserve">EGM No. EGM Date Container No. Seal No. Error Message
R27741512  2017-12-15 0.0.0.0  TGHU7862323  3688  N.A. </t>
  </si>
  <si>
    <t xml:space="preserve">ROSL Availed Amount(INR) Scroll Number Scroll Date
Y  1564  25879/2017  2017-12-20 0.0.0.0 </t>
  </si>
  <si>
    <t xml:space="preserve">GSTIN    -    06AXXXXXXXXM1Z2
Invoice Number Invoice Date IGST Paid(INR)
XXXXXXXXX8RG  2017-11-29  4888 </t>
  </si>
  <si>
    <t xml:space="preserve">IEC CHA No. Job No. Job Date Port of Discharge Total Package Gross Weight (Kg) FOB(INR) Total Cess (INR) Drawback STR Total (DBK+STR) CIN NO. CIN DT. Reward Flag
2203003405  AABCS7195NCH001  7834787  04 DEC 2017 12:12  FRLEH  23  24570  2422086.05  0  48442  0  48442  N.A.  N.A.  Click here to view item wise reward details </t>
  </si>
  <si>
    <t xml:space="preserve">EGM No. EGM Date Container No. Seal No. Error Message
R577300612  2017-12-6 0.0.0.0  NYKU3913872  412767  N.A. </t>
  </si>
  <si>
    <t xml:space="preserve">GSTIN    -    04AXXXXXXXXF1ZC
Invoice Number Invoice Date IGST Paid(INR)
05  2017-12-02  1022 </t>
  </si>
  <si>
    <t xml:space="preserve">AWB No. Gateway Port Gateway EGM No. Gateway EGM Date Gateway Site ID Error Code
N.A.  INMUN1  139070  2017-11-17 00:00:00.0  INMUN1  S </t>
  </si>
  <si>
    <t xml:space="preserve">IEC CHA No. Job No. Job Date Port of Discharge Total Package Gross Weight (Kg) FOB(INR) Total Cess (INR) Drawback STR Total (DBK+STR) CIN NO. CIN DT. Reward Flag
0505000873  AOWPS6493KCH001  7840211  04 DEC 2017 12:12  MYPKG  4  2825.3  773677.5  0  15474  0  15474  N.A.  N.A.  Click here to view item wise reward details </t>
  </si>
  <si>
    <t xml:space="preserve">Current Que LEO Date EP Copy Print Status DBK Scroll No Scroll Date EGM Integration Status
HIST  06 DEC 2017 00:12  Y  23143/2017  22 DEC 2017 00:12  Y </t>
  </si>
  <si>
    <t xml:space="preserve">EGM No. EGM Date Container No. Seal No. Error Message
R27741512  2017-12-15 0.0.0.0  TCNU5910694  413686  N.A. </t>
  </si>
  <si>
    <t xml:space="preserve">GSTIN    -    07AXXXXXXXXB1ZS
Invoice Number Invoice Date IGST Paid(INR)
XXXXXXX017  2017-11-20  65433 </t>
  </si>
  <si>
    <t xml:space="preserve">AWB No. Gateway Port Gateway EGM No. Gateway EGM Date Gateway Site ID Error Code
N.A.  INNSA1  139999  2017-12-04 00:00:00.0  INNSA1  S </t>
  </si>
  <si>
    <t>2017/12/05</t>
  </si>
  <si>
    <t xml:space="preserve">IEC CHA No. Job No. Job Date Port of Discharge Total Package Gross Weight (Kg) FOB(INR) Total Cess (INR) Drawback STR Total (DBK+STR) CIN NO. CIN DT. Reward Flag
3000004394  AAEPI0406QCH001  7859753  05 DEC 2017 12:12  GBFXT  52  784.09  1357362.75  0  27147  0  27147  N.A.  N.A.  Click here to view item wise reward details </t>
  </si>
  <si>
    <t xml:space="preserve">Current Que LEO Date EP Copy Print Status DBK Scroll No Scroll Date EGM Integration Status
HIST  07 DEC 2017 00:12  Y  23003/2017  12 DEC 2017 00:12  Y </t>
  </si>
  <si>
    <t xml:space="preserve">EGM No. EGM Date Container No. Seal No. Error Message
J197640912  2017-12-9 0.0.0.0  MRKU5656130  413256  N.A. </t>
  </si>
  <si>
    <t xml:space="preserve">ROSL Availed Amount(INR) Scroll Number Scroll Date
Y  23075  28259/2018  2018-6-15 0.0.0.0 </t>
  </si>
  <si>
    <t xml:space="preserve">GSTIN    -    03AXXXXXXXXK1Z0
Invoice Number Invoice Date IGST Paid(INR)
665  2017-11-28  67868 </t>
  </si>
  <si>
    <t xml:space="preserve">AWB No. Gateway Port Gateway EGM No. Gateway EGM Date Gateway Site ID Error Code
N.A.  INNSA1  138232  2017-11-06 00:00:00.0  INNSA1  N </t>
  </si>
  <si>
    <t xml:space="preserve">IEC CHA No. Job No. Job Date Port of Discharge Total Package Gross Weight (Kg) FOB(INR) Total Cess (INR) Drawback STR Total (DBK+STR) CIN NO. CIN DT. Reward Flag
0504019392  AVAPS6694RCH001  7867709  05 DEC 2017 12:12  DEHAM  6  2589.96  920478.94  0  11231  0  11231  N.A.  N.A.  Click here to view item wise reward details </t>
  </si>
  <si>
    <t xml:space="preserve">EGM No. EGM Date Container No. Seal No. Error Message
R607421312  2017-12-13 0.0.0.0  BSIU2178771  413647  N.A. </t>
  </si>
  <si>
    <t xml:space="preserve">GSTIN    -    06AXXXXXXXXD1ZQ
Invoice Number Invoice Date IGST Paid(INR)
XXXXXXXXX056  2017-12-04  185491 </t>
  </si>
  <si>
    <t xml:space="preserve">AWB No. Gateway Port Gateway EGM No. Gateway EGM Date Gateway Site ID Error Code
N.A.  INNSA1  140472  2017-12-12 00:00:00.0  INNSA1  S </t>
  </si>
  <si>
    <t xml:space="preserve">IEC CHA No. Job No. Job Date Port of Discharge Total Package Gross Weight (Kg) FOB(INR) Total Cess (INR) Drawback STR Total (DBK+STR) CIN NO. CIN DT. Reward Flag
0501016481  AABCT4959MCH001  7867772  05 DEC 2017 12:12  MXZLO  34  930  392459.28  0  5237  0  5237  N.A.  N.A.  Click here to view item wise reward details </t>
  </si>
  <si>
    <t xml:space="preserve">Current Que LEO Date EP Copy Print Status DBK Scroll No Scroll Date EGM Integration Status
HIST  13 DEC 2017 00:12  Y  23143/2017  22 DEC 2017 00:12  Y </t>
  </si>
  <si>
    <t xml:space="preserve">EGM No. EGM Date Container No. Seal No. Error Message
R267901612  2017-12-16 0.0.0.0  TCLU9304152  414201  N.A. </t>
  </si>
  <si>
    <t xml:space="preserve">GSTIN    -    07AXXXXXXXXF1ZH
Invoice Number Invoice Date IGST Paid(INR)
XXXXXXXXXXXXXX7-1  2017-11-30  10297 </t>
  </si>
  <si>
    <t xml:space="preserve">AWB No. Gateway Port Gateway EGM No. Gateway EGM Date Gateway Site ID Error Code
N.A.  INNSA1  139986  2017-12-04 00:00:00.0  INNSA1  S </t>
  </si>
  <si>
    <t xml:space="preserve">IEC CHA No. Job No. Job Date Port of Discharge Total Package Gross Weight (Kg) FOB(INR) Total Cess (INR) Drawback STR Total (DBK+STR) CIN NO. CIN DT. Reward Flag
0588128180  AATPS3087NCH001  7869014  05 DEC 2017 12:12  ZADUR  596  14834  1666744.5  0  22967  0  22967  N.A.  N.A.  Click here to view item wise reward details </t>
  </si>
  <si>
    <t xml:space="preserve">Current Que LEO Date EP Copy Print Status DBK Scroll No Scroll Date EGM Integration Status
HIST  07 DEC 2017 00:12  Y  23043/2017  15 DEC 2017 00:12  Y </t>
  </si>
  <si>
    <t xml:space="preserve">EGM No. EGM Date Container No. Seal No. Error Message
T1007221212  2017-12-12 0.0.0.0  CRXU1571954  413346  N.A. </t>
  </si>
  <si>
    <t xml:space="preserve">GSTIN    -    07AXXXXXXXXJ1Z1
Invoice Number Invoice Date IGST Paid(INR)
XXXXXXXX/17  2017-12-01  12744 </t>
  </si>
  <si>
    <t xml:space="preserve">AWB No. Gateway Port Gateway EGM No. Gateway EGM Date Gateway Site ID Error Code
N.A.  INMUN1  140703  2017-12-14 00:00:00.0  INMUN1  S </t>
  </si>
  <si>
    <t>2017/12/06</t>
  </si>
  <si>
    <t xml:space="preserve">IEC CHA No. Job No. Job Date Port of Discharge Total Package Gross Weight (Kg) FOB(INR) Total Cess (INR) Drawback STR Total (DBK+STR) CIN NO. CIN DT. Reward Flag
0504077171  AKOPK7974PCH001  7883107  06 DEC 2017 12:12  LKCMB  2100  105210  2719320  0  0  0  0  N.A.  N.A.  Click here to view item wise reward details </t>
  </si>
  <si>
    <t xml:space="preserve">Current Que LEO Date EP Copy Print Status DBK Scroll No Scroll Date EGM Integration Status
HIST  08 DEC 2017 00:12  Y  N.A.  N.A.  Y </t>
  </si>
  <si>
    <t xml:space="preserve">EGM No. EGM Date Container No. Seal No. Error Message
TX187580812  2017-12-8 0.0.0.0  TGHU3089350  004585  N.A. </t>
  </si>
  <si>
    <t xml:space="preserve">GSTIN    -    06AXXXXXXXXB1ZF
Invoice Number Invoice Date IGST Paid(INR)
108  2017-12-05  4158 </t>
  </si>
  <si>
    <t xml:space="preserve">AWB No. Gateway Port Gateway EGM No. Gateway EGM Date Gateway Site ID Error Code
N.A.  INMUN1  140290  2017-12-07 00:00:00.0  INMUN1  S </t>
  </si>
  <si>
    <t xml:space="preserve">IEC CHA No. Job No. Job Date Port of Discharge Total Package Gross Weight (Kg) FOB(INR) Total Cess (INR) Drawback STR Total (DBK+STR) CIN NO. CIN DT. Reward Flag
0514067969  ADXPJ1610RCH001  7887075  06 DEC 2017 12:12  USNYC  116  2552  1638558  0  2458  0  2458  N.A.  N.A.  Click here to view item wise reward details </t>
  </si>
  <si>
    <t xml:space="preserve">Current Que LEO Date EP Copy Print Status DBK Scroll No Scroll Date EGM Integration Status
HIST  08 DEC 2017 00:12  Y  23237/2017  29 DEC 2017 00:12  Y </t>
  </si>
  <si>
    <t xml:space="preserve">EGM No. EGM Date Container No. Seal No. Error Message
R27402112  2017-12-21 0.0.0.0  BSIU2864848  414270  N.A. </t>
  </si>
  <si>
    <t xml:space="preserve">GSTIN    -    09AXXXXXXXXA1Z1
Invoice Number Invoice Date IGST Paid(INR)
XXXXX8/B  2017-11-30  274456 </t>
  </si>
  <si>
    <t xml:space="preserve">AWB No. Gateway Port Gateway EGM No. Gateway EGM Date Gateway Site ID Error Code
N.A.  INNSA1  140726  2017-12-15 00:00:00.0  INNSA1  C </t>
  </si>
  <si>
    <t xml:space="preserve">IEC CHA No. Job No. Job Date Port of Discharge Total Package Gross Weight (Kg) FOB(INR) Total Cess (INR) Drawback STR Total (DBK+STR) CIN NO. CIN DT. Reward Flag
0500050139  AACFL6638BCH001  7901913  06 DEC 2017 12:12  USSVQ  2698  16620  5315986.8  0  0  0  0  N.A.  N.A.  Click here to view item wise reward details </t>
  </si>
  <si>
    <t xml:space="preserve">EGM No. EGM Date Container No. Seal No. Error Message
R397500812  2017-12-8 0.0.0.0  MSKU6199024  413024  N.A. </t>
  </si>
  <si>
    <t xml:space="preserve">GSTIN    -    07AXXXXXXXXF1ZU
Invoice Number Invoice Date IGST Paid(INR)
XXXXXXX067  2017-12-04  637916 </t>
  </si>
  <si>
    <t>2017/12/07</t>
  </si>
  <si>
    <t xml:space="preserve">IEC CHA No. Job No. Job Date Port of Discharge Total Package Gross Weight (Kg) FOB(INR) Total Cess (INR) Drawback STR Total (DBK+STR) CIN NO. CIN DT. Reward Flag
0504077171  AKOPK7974PCH001  7906837  07 DEC 2017 12:12  LKCMB  2100  105210  2177520  0  0  0  0  N.A.  N.A.  Click here to view item wise reward details </t>
  </si>
  <si>
    <t xml:space="preserve">EGM No. EGM Date Container No. Seal No. Error Message
R367181212  2017-12-12 0.0.0.0  NYKU9856126  004590  N.A. </t>
  </si>
  <si>
    <t xml:space="preserve">GSTIN    -    06AXXXXXXXXB1ZF
Invoice Number Invoice Date IGST Paid(INR)
109  2017-12-06  4158 </t>
  </si>
  <si>
    <t xml:space="preserve">AWB No. Gateway Port Gateway EGM No. Gateway EGM Date Gateway Site ID Error Code
N.A.  INPAV1  140083  2017-12-05 00:00:00.0  INPAV1  S </t>
  </si>
  <si>
    <t xml:space="preserve">IEC CHA No. Job No. Job Date Port of Discharge Total Package Gross Weight (Kg) FOB(INR) Total Cess (INR) Drawback STR Total (DBK+STR) CIN NO. CIN DT. Reward Flag
0504077171  AKOPK7974PCH001  7932802  07 DEC 2017 12:12  LKCMB  2100  105210  2177520  0  0  0  0  N.A.  N.A.  Click here to view item wise reward details </t>
  </si>
  <si>
    <t xml:space="preserve">Current Que LEO Date EP Copy Print Status DBK Scroll No Scroll Date EGM Integration Status
HIST  11 DEC 2017 00:12  Y  N.A.  N.A.  Y </t>
  </si>
  <si>
    <t xml:space="preserve">EGM No. EGM Date Container No. Seal No. Error Message
R367181212  2017-12-12 0.0.0.0  DFSU2493229  004598  N.A. </t>
  </si>
  <si>
    <t xml:space="preserve">GSTIN    -    06AXXXXXXXXB1ZF
Invoice Number Invoice Date IGST Paid(INR)
110  2017-12-07  4158 </t>
  </si>
  <si>
    <t>2017/12/11</t>
  </si>
  <si>
    <t xml:space="preserve">IEC CHA No. Job No. Job Date Port of Discharge Total Package Gross Weight (Kg) FOB(INR) Total Cess (INR) Drawback STR Total (DBK+STR) CIN NO. CIN DT. Reward Flag
0501016481  AABCT4959MCH001  7991212  11 DEC 2017 12:12  ESBCN  29  505  918586.89  0  1744  0  1744  N.A.  N.A.  Click here to view item wise reward details </t>
  </si>
  <si>
    <t xml:space="preserve">Current Que LEO Date EP Copy Print Status DBK Scroll No Scroll Date EGM Integration Status
HIST  18 DEC 2017 00:12  Y  23237/2017  29 DEC 2017 00:12  Y </t>
  </si>
  <si>
    <t xml:space="preserve">EGM No. EGM Date Container No. Seal No. Error Message
T587862312  2017-12-23 0.0.0.0  DFSU6923539  414871  N.A. </t>
  </si>
  <si>
    <t xml:space="preserve">GSTIN    -    07AXXXXXXXXF1ZH
Invoice Number Invoice Date IGST Paid(INR)
XXXXXXXXXXXXXX7-1  2017-11-28  20224 </t>
  </si>
  <si>
    <t xml:space="preserve">AWB No. Gateway Port Gateway EGM No. Gateway EGM Date Gateway Site ID Error Code
N.A.  INNSA1  140677  2017-12-14 00:00:00.0  INNSA1  S </t>
  </si>
  <si>
    <t xml:space="preserve">IEC CHA No. Job No. Job Date Port of Discharge Total Package Gross Weight (Kg) FOB(INR) Total Cess (INR) Drawback STR Total (DBK+STR) CIN NO. CIN DT. Reward Flag
0514025026  ARPPK3328RCH001  7993460  11 DEC 2017 12:12  BDCGP  10  344  63700  0  1274  0  1274  N.A.  N.A.  Click here to view item wise reward details </t>
  </si>
  <si>
    <t xml:space="preserve">Current Que LEO Date EP Copy Print Status DBK Scroll No Scroll Date EGM Integration Status
HIST  13 DEC 2017 00:12  Y  23237/2017  29 DEC 2017 00:12  Y </t>
  </si>
  <si>
    <t xml:space="preserve">EGM No. EGM Date Container No. Seal No. Error Message
T587862312  2017-12-23 0.0.0.0  HDMU6838625  414844  N.A. </t>
  </si>
  <si>
    <t xml:space="preserve">GSTIN    -    07AXXXXXXXXF1ZR
Invoice Number Invoice Date IGST Paid(INR)
XXXXXXXXXXXX153  2017-12-08  11466 </t>
  </si>
  <si>
    <t xml:space="preserve">AWB No. Gateway Port Gateway EGM No. Gateway EGM Date Gateway Site ID Error Code
N.A.  INNSA1  140365  2017-12-08 00:00:00.0  INNSA1  N </t>
  </si>
  <si>
    <t xml:space="preserve">IEC CHA No. Job No. Job Date Port of Discharge Total Package Gross Weight (Kg) FOB(INR) Total Cess (INR) Drawback STR Total (DBK+STR) CIN NO. CIN DT. Reward Flag
0598059113  AASPK9028QCH001  7994500  11 DEC 2017 12:12  AEJEA  845  10250  1384583.2  0  27692  0  27692  N.A.  N.A.  Click here to view item wise reward details </t>
  </si>
  <si>
    <t xml:space="preserve">Current Que LEO Date EP Copy Print Status DBK Scroll No Scroll Date EGM Integration Status
HIST  15 DEC 2017 00:12  Y  23143/2017  22 DEC 2017 00:12  Y </t>
  </si>
  <si>
    <t xml:space="preserve">EGM No. EGM Date Container No. Seal No. Error Message
T437141912  2017-12-19 0.0.0.0  HDMU2556351  414180  N.A. </t>
  </si>
  <si>
    <t xml:space="preserve">GSTIN    -    07AXXXXXXXXL1ZI
Invoice Number Invoice Date IGST Paid(INR)
XXXXXXXXXXXX/35  2017-12-11  166646 </t>
  </si>
  <si>
    <t xml:space="preserve">AWB No. Gateway Port Gateway EGM No. Gateway EGM Date Gateway Site ID Error Code
N.A.  INMUN1  141077  2017-12-21 00:00:00.0  INMUN1  S </t>
  </si>
  <si>
    <t xml:space="preserve">IEC CHA No. Job No. Job Date Port of Discharge Total Package Gross Weight (Kg) FOB(INR) Total Cess (INR) Drawback STR Total (DBK+STR) CIN NO. CIN DT. Reward Flag
0500050139  AACFL6638BCH001  7996260  11 DEC 2017 12:12  USSVQ  837  3013  1225222.36  0  0  0  0  N.A.  N.A.  Click here to view item wise reward details </t>
  </si>
  <si>
    <t xml:space="preserve">Current Que LEO Date EP Copy Print Status DBK Scroll No Scroll Date EGM Integration Status
HIST  13 DEC 2017 00:12  Y  N.A.  N.A.  Y </t>
  </si>
  <si>
    <t xml:space="preserve">EGM No. EGM Date Container No. Seal No. Error Message
R707601512  2017-12-15 0.0.0.0  MSKU2961609  413471  N.A. </t>
  </si>
  <si>
    <t xml:space="preserve">GSTIN    -    07AXXXXXXXXF1ZU
Invoice Number Invoice Date IGST Paid(INR)
XXXXXXX068  2017-12-04  147025 </t>
  </si>
  <si>
    <t xml:space="preserve">AWB No. Gateway Port Gateway EGM No. Gateway EGM Date Gateway Site ID Error Code
N.A.  INPAV1  139966  2017-12-04 00:00:00.0  INPAV1  S </t>
  </si>
  <si>
    <t xml:space="preserve">IEC CHA No. Job No. Job Date Port of Discharge Total Package Gross Weight (Kg) FOB(INR) Total Cess (INR) Drawback STR Total (DBK+STR) CIN NO. CIN DT. Reward Flag
0593033043  AACFT3186ACH001  7999808  11 DEC 2017 12:12  MUPLU  78  1541  372527.7  0  0  0  0  N.A.  N.A.  Click here to view item wise reward details </t>
  </si>
  <si>
    <t xml:space="preserve">Current Que LEO Date EP Copy Print Status DBK Scroll No Scroll Date EGM Integration Status
HIST  15 DEC 2017 00:12  Y  N.A.  N.A.  Y </t>
  </si>
  <si>
    <t xml:space="preserve">EGM No. EGM Date Container No. Seal No. Error Message
T1007642212  2017-12-22 0.0.0.0  TEMU2032450  414817  N.A. </t>
  </si>
  <si>
    <t xml:space="preserve">GSTIN    -    07AXXXXXXXXC1Z5
Invoice Number Invoice Date IGST Paid(INR)
XXXXXXX/17  2017-12-05  33903 </t>
  </si>
  <si>
    <t xml:space="preserve">AWB No. Gateway Port Gateway EGM No. Gateway EGM Date Gateway Site ID Error Code
N.A.  INMUN1  141426  2017-12-27 00:00:00.0  INMUN1  S </t>
  </si>
  <si>
    <t>2017/12/12</t>
  </si>
  <si>
    <t xml:space="preserve">IEC CHA No. Job No. Job Date Port of Discharge Total Package Gross Weight (Kg) FOB(INR) Total Cess (INR) Drawback STR Total (DBK+STR) CIN NO. CIN DT. Reward Flag
0504077171  AKOPK7974PCH001  8012908  12 DEC 2017 12:12  LKCMB  2100  105210  2685592  0  0  0  0  N.A.  N.A.  Click here to view item wise reward details </t>
  </si>
  <si>
    <t xml:space="preserve">Current Que LEO Date EP Copy Print Status DBK Scroll No Scroll Date EGM Integration Status
HIST  14 DEC 2017 00:12  Y  N.A.  N.A.  Y </t>
  </si>
  <si>
    <t xml:space="preserve">EGM No. EGM Date Container No. Seal No. Error Message
R1577902412  2017-12-24 0.0.0.0  CNSU2048548  004601  N.A. </t>
  </si>
  <si>
    <t xml:space="preserve">GSTIN    -    06AXXXXXXXXB1ZF
Invoice Number Invoice Date IGST Paid(INR)
111  2017-12-11  4158 </t>
  </si>
  <si>
    <t xml:space="preserve">AWB No. Gateway Port Gateway EGM No. Gateway EGM Date Gateway Site ID Error Code
N.A.  INPAV1  140831  2017-12-18 00:00:00.0  INPAV1  S </t>
  </si>
  <si>
    <t xml:space="preserve">IEC CHA No. Job No. Job Date Port of Discharge Total Package Gross Weight (Kg) FOB(INR) Total Cess (INR) Drawback STR Total (DBK+STR) CIN NO. CIN DT. Reward Flag
0595008844  ADFFS3281FCH001  8013530  12 DEC 2017 12:12  AEJEA  467  7322.56  1608475.96  0  24127  0  24127  N.A.  N.A.  Click here to view item wise reward details </t>
  </si>
  <si>
    <t xml:space="preserve">Current Que LEO Date EP Copy Print Status DBK Scroll No Scroll Date EGM Integration Status
HIST  13 DEC 2017 00:12  Y  23835/2018  15 FEB 2018 00:02  Y </t>
  </si>
  <si>
    <t xml:space="preserve">EGM No. EGM Date Container No. Seal No. Error Message
R817941712  2017-12-17 0.0.0.0  HJMU1409260  413957  N.A. </t>
  </si>
  <si>
    <t xml:space="preserve">GSTIN    -    06AXXXXXXXXE1ZT
Invoice Number Invoice Date IGST Paid(INR)
XXXXX-18  2017-12-11  298404 </t>
  </si>
  <si>
    <t xml:space="preserve">AWB No. Gateway Port Gateway EGM No. Gateway EGM Date Gateway Site ID Error Code
N.A.  INMUN1  140930  2017-12-19 00:00:00.0  INMUN1  S </t>
  </si>
  <si>
    <t xml:space="preserve">IEC CHA No. Job No. Job Date Port of Discharge Total Package Gross Weight (Kg) FOB(INR) Total Cess (INR) Drawback STR Total (DBK+STR) CIN NO. CIN DT. Reward Flag
0505075172  AACCP0287DCH001  8013940  12 DEC 2017 12:12  BDCGP  1  206  1039584  0  20792  0  20792  N.A.  N.A.  Click here to view item wise reward details </t>
  </si>
  <si>
    <t xml:space="preserve">Current Que LEO Date EP Copy Print Status DBK Scroll No Scroll Date EGM Integration Status
HIST  19 DEC 2017 00:12  Y  23237/2017  29 DEC 2017 00:12  Y </t>
  </si>
  <si>
    <t xml:space="preserve">GSTIN    -    06AXXXXXXXXK1ZF
Invoice Number Invoice Date IGST Paid(INR)
XXXXXXXXXXX340  2017-12-07  189189 </t>
  </si>
  <si>
    <t>2017/12/13</t>
  </si>
  <si>
    <t xml:space="preserve">IEC CHA No. Job No. Job Date Port of Discharge Total Package Gross Weight (Kg) FOB(INR) Total Cess (INR) Drawback STR Total (DBK+STR) CIN NO. CIN DT. Reward Flag
0515934062  FHMPS1058ECH001  8036399  13 DEC 2017 12:12  FRLEH  281  5718  4318672.85  0  64483  0  64483  N.A.  N.A.  Click here to view item wise reward details </t>
  </si>
  <si>
    <t xml:space="preserve">Current Que LEO Date EP Copy Print Status DBK Scroll No Scroll Date EGM Integration Status
HIST  15 DEC 2017 00:12  Y  24082/2018  28 FEB 2018 00:02  Y </t>
  </si>
  <si>
    <t xml:space="preserve">EGM No. EGM Date Container No. Seal No. Error Message
TX227101812  2017-12-18 0.0.0.0  CRSU1134340  414192  N.A. </t>
  </si>
  <si>
    <t xml:space="preserve">GSTIN    -    07AXXXXXXXXM1ZF
Invoice Number Invoice Date IGST Paid(INR)
XXXXXXX-18  2017-12-07  3906 </t>
  </si>
  <si>
    <t xml:space="preserve">IEC CHA No. Job No. Job Date Port of Discharge Total Package Gross Weight (Kg) FOB(INR) Total Cess (INR) Drawback STR Total (DBK+STR) CIN NO. CIN DT. Reward Flag
0508028078  AAECB3928MCH001  8039774  13 DEC 2017 12:12  FRFOS  5  880  574997.7  0  11500  0  11500  N.A.  N.A.  Click here to view item wise reward details </t>
  </si>
  <si>
    <t xml:space="preserve">Current Que LEO Date EP Copy Print Status DBK Scroll No Scroll Date EGM Integration Status
HIST  14 DEC 2017 00:12  Y  23143/2017  22 DEC 2017 00:12  Y </t>
  </si>
  <si>
    <t xml:space="preserve">EGM No. EGM Date Container No. Seal No. Error Message
R637981712  2017-12-17 0.0.0.0  SLSU6170854  414243  N.A. </t>
  </si>
  <si>
    <t xml:space="preserve">GSTIN    -    06AXXXXXXXXD1Z2
Invoice Number Invoice Date IGST Paid(INR)
XXXXXXXXXX933  2017-12-07  160999 </t>
  </si>
  <si>
    <t xml:space="preserve">IEC CHA No. Job No. Job Date Port of Discharge Total Package Gross Weight (Kg) FOB(INR) Total Cess (INR) Drawback STR Total (DBK+STR) CIN NO. CIN DT. Reward Flag
0504011057  AFBPM9459DCH001  8049444  13 DEC 2017 12:12  TJDYU  1410  20200  4751183.62  0  71268  0  71268  N.A.  N.A.  Click here to view item wise reward details </t>
  </si>
  <si>
    <t xml:space="preserve">EGM No. EGM Date Container No. Seal No. Error Message
TX227101812  2017-12-18 0.0.0.0  GRMU4200556  414416  N.A. </t>
  </si>
  <si>
    <t xml:space="preserve">GSTIN    -    07AXXXXXXXXE1ZD
Invoice Number Invoice Date IGST Paid(INR)
XXXXXXXXXXX018  2017-12-05  118001 </t>
  </si>
  <si>
    <t xml:space="preserve">AWB No. Gateway Port Gateway EGM No. Gateway EGM Date Gateway Site ID Error Code
N.A.  INMUN1  140931  2017-12-19 00:00:00.0  INMUN1  S </t>
  </si>
  <si>
    <t xml:space="preserve">IEC CHA No. Job No. Job Date Port of Discharge Total Package Gross Weight (Kg) FOB(INR) Total Cess (INR) Drawback STR Total (DBK+STR) CIN NO. CIN DT. Reward Flag
1306014115  AAAFA8105CCH001  8051412  13 DEC 2017 12:12  GNCKY  1528  16576  3502863  0  70057  0  70057  N.A.  N.A.  Click here to view item wise reward details </t>
  </si>
  <si>
    <t xml:space="preserve">Current Que LEO Date EP Copy Print Status DBK Scroll No Scroll Date EGM Integration Status
HIST  16 DEC 2017 00:12  Y  23143/2017  22 DEC 2017 00:12  Y </t>
  </si>
  <si>
    <t xml:space="preserve">EGM No. EGM Date Container No. Seal No. Error Message
R817941712  2017-12-17 0.0.0.0  MRKU8243150  000244  N.A. </t>
  </si>
  <si>
    <t xml:space="preserve">GSTIN    -    08AXXXXXXXXA1ZW
Invoice Number Invoice Date IGST Paid(INR)
XXXXXXXXXXX-18  2017-12-12  3220 </t>
  </si>
  <si>
    <t>2017/12/14</t>
  </si>
  <si>
    <t xml:space="preserve">IEC CHA No. Job No. Job Date Port of Discharge Total Package Gross Weight (Kg) FOB(INR) Total Cess (INR) Drawback STR Total (DBK+STR) CIN NO. CIN DT. Reward Flag
3104003254  AAACA3307KCH003  8075620  14 DEC 2017 12:12  USSTL  1  190  195653  0  3913  0  3913  N.A.  N.A.  Click here to view item wise reward details </t>
  </si>
  <si>
    <t xml:space="preserve">EGM No. EGM Date Container No. Seal No. Error Message
T1007642212  2017-12-22 0.0.0.0  DRYU9457048  414824  N.A. </t>
  </si>
  <si>
    <t xml:space="preserve">GSTIN    -    27AXXXXXXXXR1ZF
Invoice Number Invoice Date IGST Paid(INR)
XXXXXXXXXXXXXX718  2017-12-06  8950 </t>
  </si>
  <si>
    <t xml:space="preserve">IEC CHA No. Job No. Job Date Port of Discharge Total Package Gross Weight (Kg) FOB(INR) Total Cess (INR) Drawback STR Total (DBK+STR) CIN NO. CIN DT. Reward Flag
0504077171  AKOPK7974PCH001  8076740  14 DEC 2017 12:12  LKCMB  2100  105210  2150512  0  0  0  0  N.A.  N.A.  Click here to view item wise reward details </t>
  </si>
  <si>
    <t xml:space="preserve">Current Que LEO Date EP Copy Print Status DBK Scroll No Scroll Date EGM Integration Status
HIST  18 DEC 2017 00:12  Y  N.A.  N.A.  Y </t>
  </si>
  <si>
    <t xml:space="preserve">EGM No. EGM Date Container No. Seal No. Error Message
R567382012  2017-12-20 0.0.0.0  NYKU3824353  413896  N.A. </t>
  </si>
  <si>
    <t xml:space="preserve">GSTIN    -    06AXXXXXXXXB1ZF
Invoice Number Invoice Date IGST Paid(INR)
112  2017-12-13  4158 </t>
  </si>
  <si>
    <t xml:space="preserve">IEC CHA No. Job No. Job Date Port of Discharge Total Package Gross Weight (Kg) FOB(INR) Total Cess (INR) Drawback STR Total (DBK+STR) CIN NO. CIN DT. Reward Flag
0500050139  AACFL6638BCH001  8080739  14 DEC 2017 12:12  KRBUS  1271  9104  2559455.81  0  0  0  0  N.A.  N.A.  Click here to view item wise reward details </t>
  </si>
  <si>
    <t xml:space="preserve">EGM No. EGM Date Container No. Seal No. Error Message
R27741512  2017-12-15 0.0.0.0  OOLU9658411  413874  N.A. </t>
  </si>
  <si>
    <t xml:space="preserve">GSTIN    -    07AXXXXXXXXF1ZU
Invoice Number Invoice Date IGST Paid(INR)
XXXXXXX069  2017-12-11  307129 </t>
  </si>
  <si>
    <t xml:space="preserve">AWB No. Gateway Port Gateway EGM No. Gateway EGM Date Gateway Site ID Error Code
N.A.  INNSA1  138758  2017-11-14 00:00:00.0  INNSA1  S </t>
  </si>
  <si>
    <t>2017/12/15</t>
  </si>
  <si>
    <t xml:space="preserve">IEC CHA No. Job No. Job Date Port of Discharge Total Package Gross Weight (Kg) FOB(INR) Total Cess (INR) Drawback STR Total (DBK+STR) CIN NO. CIN DT. Reward Flag
0713000201  AADCA0273BCH001  8096438  15 DEC 2017 12:12  USNWK  207  3254.2  652493.11  0  0  0  0  N.A.  N.A.  Click here to view item wise reward details </t>
  </si>
  <si>
    <t xml:space="preserve">Current Que LEO Date EP Copy Print Status DBK Scroll No Scroll Date EGM Integration Status
HIST  19 DEC 2017 00:12  Y  N.A.  N.A.  Y </t>
  </si>
  <si>
    <t xml:space="preserve">EGM No. EGM Date Container No. Seal No. Error Message
T587862312  2017-12-23 0.0.0.0  TGHU5214511  414880  N.A. </t>
  </si>
  <si>
    <t xml:space="preserve">GSTIN    -    29AXXXXXXXXJ1Z5
Invoice Number Invoice Date IGST Paid(INR)
XXXXXXXXXXX017  2017-11-17  74410 </t>
  </si>
  <si>
    <t xml:space="preserve">IEC CHA No. Job No. Job Date Port of Discharge Total Package Gross Weight (Kg) FOB(INR) Total Cess (INR) Drawback STR Total (DBK+STR) CIN NO. CIN DT. Reward Flag
0589053850  AVAPS6694RCH001  8098741  15 DEC 2017 12:12  AEJEA  6  3418  379053.22  0  7581  0  7581  N.A.  N.A.  Click here to view item wise reward details </t>
  </si>
  <si>
    <t xml:space="preserve">EGM No. EGM Date Container No. Seal No. Error Message
T587862312  2017-12-23 0.0.0.0  INLU2203114  414865  N.A. </t>
  </si>
  <si>
    <t xml:space="preserve">GSTIN    -    06AXXXXXXXXM1ZZ
Invoice Number Invoice Date IGST Paid(INR)
070  2017-12-07  69371 </t>
  </si>
  <si>
    <t xml:space="preserve">AWB No. Gateway Port Gateway EGM No. Gateway EGM Date Gateway Site ID Error Code
N.A.  INNSA1  140487  2017-12-12 00:00:00.0  INNSA1  S </t>
  </si>
  <si>
    <t xml:space="preserve">IEC CHA No. Job No. Job Date Port of Discharge Total Package Gross Weight (Kg) FOB(INR) Total Cess (INR) Drawback STR Total (DBK+STR) CIN NO. CIN DT. Reward Flag
0516526065  AADCA0273BCH001  8110740  15 DEC 2017 12:12  USDAL  238  2224.73  374313.94  0  7096  0  7096  N.A.  N.A.  Click here to view item wise reward details </t>
  </si>
  <si>
    <t xml:space="preserve">Current Que LEO Date EP Copy Print Status DBK Scroll No Scroll Date EGM Integration Status
HIST  20 DEC 2017 00:12  Y  23414/2018  12 JAN 2018 00:01  Y </t>
  </si>
  <si>
    <t xml:space="preserve">EGM No. EGM Date Container No. Seal No. Error Message
R1977520401  2018-1-4 0.0.0.0  MRKU6416473  415872  N.A. </t>
  </si>
  <si>
    <t xml:space="preserve">GSTIN    -    07DXXXXXXXXL1ZP
Invoice Number Invoice Date IGST Paid(INR)
XXXXXXXXXXXX-18  2017-12-15  79128 </t>
  </si>
  <si>
    <t xml:space="preserve">AWB No. Gateway Port Gateway EGM No. Gateway EGM Date Gateway Site ID Error Code
N.A.  INNSA1  140586  2017-12-12 00:00:00.0  INNSA1  S </t>
  </si>
  <si>
    <t xml:space="preserve">IEC CHA No. Job No. Job Date Port of Discharge Total Package Gross Weight (Kg) FOB(INR) Total Cess (INR) Drawback STR Total (DBK+STR) CIN NO. CIN DT. Reward Flag
3011014116  ABSPN4101ECH001  8111183  15 DEC 2017 12:12  USDAL  74  1118  489056.75  0  7336  0  7336  N.A.  N.A.  Click here to view item wise reward details </t>
  </si>
  <si>
    <t xml:space="preserve">Current Que LEO Date EP Copy Print Status DBK Scroll No Scroll Date EGM Integration Status
HIST  20 DEC 2017 00:12  Y  23237/2017  29 DEC 2017 00:12  Y </t>
  </si>
  <si>
    <t xml:space="preserve">EGM No. EGM Date Container No. Seal No. Error Message
T587862312  2017-12-23 0.0.0.0  INKU2342576  414883  N.A. </t>
  </si>
  <si>
    <t xml:space="preserve">GSTIN    -    03AXXXXXXXXE1ZC
Invoice Number Invoice Date IGST Paid(INR)
E53  2017-12-14  88028 </t>
  </si>
  <si>
    <t xml:space="preserve">AWB No. Gateway Port Gateway EGM No. Gateway EGM Date Gateway Site ID Error Code
N.A.  INNSA1  140402  2017-12-11 00:00:00.0  INNSA1  S </t>
  </si>
  <si>
    <t>2017/12/18</t>
  </si>
  <si>
    <t xml:space="preserve">IEC CHA No. Job No. Job Date Port of Discharge Total Package Gross Weight (Kg) FOB(INR) Total Cess (INR) Drawback STR Total (DBK+STR) CIN NO. CIN DT. Reward Flag
0504077171  AKOPK7974PCH001  8143267  18 DEC 2017 12:12  LKCMB  2100  105210  2150512  0  0  0  0  N.A.  N.A.  Click here to view item wise reward details </t>
  </si>
  <si>
    <t xml:space="preserve">Current Que LEO Date EP Copy Print Status DBK Scroll No Scroll Date EGM Integration Status
HIST  21 DEC 2017 00:12  Y  N.A.  N.A.  Y </t>
  </si>
  <si>
    <t xml:space="preserve">EGM No. EGM Date Container No. Seal No. Error Message
R1577902412  2017-12-24 0.0.0.0  TCKU3848465  414969  N.A. </t>
  </si>
  <si>
    <t xml:space="preserve">GSTIN    -    06AXXXXXXXXB1ZF
Invoice Number Invoice Date IGST Paid(INR)
113  2017-12-15  3753 </t>
  </si>
  <si>
    <t xml:space="preserve">IEC CHA No. Job No. Job Date Port of Discharge Total Package Gross Weight (Kg) FOB(INR) Total Cess (INR) Drawback STR Total (DBK+STR) CIN NO. CIN DT. Reward Flag
0593052561  AAJPK0196LCH001  8148460  18 DEC 2017 12:12  ITGOA  1  11.65  17784.36  0  0  0  0  N.A.  N.A.  Click here to view item wise reward details </t>
  </si>
  <si>
    <t xml:space="preserve">Current Que LEO Date EP Copy Print Status DBK Scroll No Scroll Date EGM Integration Status
HIST  27 DEC 2017 00:12  Y  N.A.  N.A.  Y </t>
  </si>
  <si>
    <t xml:space="preserve">EGM No. EGM Date Container No. Seal No. Error Message
T257700501  2018-1-5 0.0.0.0  FSCU8047472  415882  N.A. </t>
  </si>
  <si>
    <t xml:space="preserve">GSTIN    -    08AXXXXXXXXA1Z5
Invoice Number Invoice Date IGST Paid(INR)
X090  2017-10-31  2598 </t>
  </si>
  <si>
    <t xml:space="preserve">AWB No. Gateway Port Gateway EGM No. Gateway EGM Date Gateway Site ID Error Code
N.A.  INNSA1  141463  2017-12-27 00:00:00.0  INNSA1  S </t>
  </si>
  <si>
    <t xml:space="preserve">IEC CHA No. Job No. Job Date Port of Discharge Total Package Gross Weight (Kg) FOB(INR) Total Cess (INR) Drawback STR Total (DBK+STR) CIN NO. CIN DT. Reward Flag
0389025364  AAJCA1821BCH001  8150914  18 DEC 2017 12:12  IRBND  2  4881.8  138632.22  0  2773  0  2773  N.A.  N.A.  Click here to view item wise reward details </t>
  </si>
  <si>
    <t xml:space="preserve">Current Que LEO Date EP Copy Print Status DBK Scroll No Scroll Date EGM Integration Status
HIST  23 DEC 2017 00:12  Y  23328/2018  05 JAN 2018 00:01  Y </t>
  </si>
  <si>
    <t xml:space="preserve">EGM No. EGM Date Container No. Seal No. Error Message
R557963112  2017-12-31 0.0.0.0  AMFU8791180  415489  N.A. </t>
  </si>
  <si>
    <t xml:space="preserve">GSTIN    -    27AXXXXXXXXG1ZZ
Invoice Number Invoice Date IGST Paid(INR)
XXXXXXXXXXXXXX-18  2017-11-30  67946 </t>
  </si>
  <si>
    <t xml:space="preserve">AWB No. Gateway Port Gateway EGM No. Gateway EGM Date Gateway Site ID Error Code
N.A.  INMUN1  141297  2017-12-26 00:00:00.0  INMUN1  S </t>
  </si>
  <si>
    <t xml:space="preserve">IEC CHA No. Job No. Job Date Port of Discharge Total Package Gross Weight (Kg) FOB(INR) Total Cess (INR) Drawback STR Total (DBK+STR) CIN NO. CIN DT. Reward Flag
0505000873  AOWPS6493KCH001  8157051  18 DEC 2017 12:12  MYPKG  4  3005.7  912916.55  0  18258  0  18258  N.A.  N.A.  Click here to view item wise reward details </t>
  </si>
  <si>
    <t xml:space="preserve">EGM No. EGM Date Container No. Seal No. Error Message
R1267142512  2017-12-25 0.0.0.0  BSIU2789699  414845  N.A. </t>
  </si>
  <si>
    <t xml:space="preserve">GSTIN    -    07AXXXXXXXXB1ZS
Invoice Number Invoice Date IGST Paid(INR)
XXXXXXX017  2017-12-08  89111 </t>
  </si>
  <si>
    <t xml:space="preserve">AWB No. Gateway Port Gateway EGM No. Gateway EGM Date Gateway Site ID Error Code
N.A.  INNSA1  141039  2017-12-20 00:00:00.0  INNSA1  S </t>
  </si>
  <si>
    <t xml:space="preserve">IEC CHA No. Job No. Job Date Port of Discharge Total Package Gross Weight (Kg) FOB(INR) Total Cess (INR) Drawback STR Total (DBK+STR) CIN NO. CIN DT. Reward Flag
0505000873  AOWPS6493KCH001  8157068  18 DEC 2017 12:12  MYPKG  3  1102.11  475953.66  0  9234  0  9234  N.A.  N.A.  Click here to view item wise reward details </t>
  </si>
  <si>
    <t xml:space="preserve">Current Que LEO Date EP Copy Print Status DBK Scroll No Scroll Date EGM Integration Status
HIST  21 DEC 2017 00:12  Y  23237/2017  29 DEC 2017 00:12  Y </t>
  </si>
  <si>
    <t xml:space="preserve">GSTIN    -    07AXXXXXXXXB1ZS
Invoice Number Invoice Date IGST Paid(INR)
XXXXXXX017  2017-12-15  65112 </t>
  </si>
  <si>
    <t xml:space="preserve">IEC CHA No. Job No. Job Date Port of Discharge Total Package Gross Weight (Kg) FOB(INR) Total Cess (INR) Drawback STR Total (DBK+STR) CIN NO. CIN DT. Reward Flag
0589036734  AEOPA9390KCH001  8165862  18 DEC 2017 12:12  DKCOP  2  482.59  527244.9  0  10526  0  10526  N.A.  N.A.  Click here to view item wise reward details </t>
  </si>
  <si>
    <t xml:space="preserve">EGM No. EGM Date Container No. Seal No. Error Message
T587862312  2017-12-23 0.0.0.0  CRXU9950466  414877  N.A. </t>
  </si>
  <si>
    <t xml:space="preserve">GSTIN    -    02AXXXXXXXXK1ZJ
Invoice Number Invoice Date IGST Paid(INR)
XXXXXXXXXXXXXX-18  2017-12-16  94893 </t>
  </si>
  <si>
    <t xml:space="preserve">AWB No. Gateway Port Gateway EGM No. Gateway EGM Date Gateway Site ID Error Code
N.A.  INNSA1  141083  2017-12-21 00:00:00.0  INNSA1  C </t>
  </si>
  <si>
    <t>2017/12/19</t>
  </si>
  <si>
    <t xml:space="preserve">IEC CHA No. Job No. Job Date Port of Discharge Total Package Gross Weight (Kg) FOB(INR) Total Cess (INR) Drawback STR Total (DBK+STR) CIN NO. CIN DT. Reward Flag
0500050139  AACFL6638BCH001  8194502  19 DEC 2017 12:12  JPTYO  440  4319  1115259.6  0  0  0  0  N.A.  N.A.  Click here to view item wise reward details </t>
  </si>
  <si>
    <t xml:space="preserve">Current Que LEO Date EP Copy Print Status DBK Scroll No Scroll Date EGM Integration Status
HIST  20 DEC 2017 00:12  Y  N.A.  N.A.  Y </t>
  </si>
  <si>
    <t xml:space="preserve">EGM No. EGM Date Container No. Seal No. Error Message
R947522112  2017-12-21 0.0.0.0  TCLU3403667  414754  N.A. </t>
  </si>
  <si>
    <t xml:space="preserve">GSTIN    -    07AXXXXXXXXF1ZU
Invoice Number Invoice Date IGST Paid(INR)
XXXXXXX070  2017-12-14  133827 </t>
  </si>
  <si>
    <t xml:space="preserve">AWB No. Gateway Port Gateway EGM No. Gateway EGM Date Gateway Site ID Error Code
N.A.  INNSA1  140724  2017-12-15 00:00:00.0  INNSA1  S </t>
  </si>
  <si>
    <t>2017/12/20</t>
  </si>
  <si>
    <t xml:space="preserve">IEC CHA No. Job No. Job Date Port of Discharge Total Package Gross Weight (Kg) FOB(INR) Total Cess (INR) Drawback STR Total (DBK+STR) CIN NO. CIN DT. Reward Flag
0504077171  AKOPK7974PCH001  8205883  20 DEC 2017 12:12  LKCMB  2100  105210  2150512  0  0  0  0  N.A.  N.A.  Click here to view item wise reward details </t>
  </si>
  <si>
    <t xml:space="preserve">Current Que LEO Date EP Copy Print Status DBK Scroll No Scroll Date EGM Integration Status
HIST  22 DEC 2017 00:12  Y  N.A.  N.A.  Y </t>
  </si>
  <si>
    <t xml:space="preserve">EGM No. EGM Date Container No. Seal No. Error Message
J247462712  2017-12-27 0.0.0.0  TCKU3164098  415087  N.A. </t>
  </si>
  <si>
    <t xml:space="preserve">GSTIN    -    06AXXXXXXXXB1ZF
Invoice Number Invoice Date IGST Paid(INR)
114  2017-12-18  3753 </t>
  </si>
  <si>
    <t xml:space="preserve">IEC CHA No. Job No. Job Date Port of Discharge Total Package Gross Weight (Kg) FOB(INR) Total Cess (INR) Drawback STR Total (DBK+STR) CIN NO. CIN DT. Reward Flag
0513013971  AFVPB8766JCH001  8207864  20 DEC 2017 12:12  AEJEA  34  522.2  142369.5  0  3275  0  3275  N.A.  N.A.  Click here to view item wise reward details </t>
  </si>
  <si>
    <t xml:space="preserve">Current Que LEO Date EP Copy Print Status DBK Scroll No Scroll Date EGM Integration Status
HIST  21 DEC 2017 00:12  Y  23328/2018  05 JAN 2018 00:01  Y </t>
  </si>
  <si>
    <t xml:space="preserve">EGM No. EGM Date Container No. Seal No. Error Message
T987020101  2018-1-1 0.0.0.0  WHLU5123143  415820  N.A. </t>
  </si>
  <si>
    <t xml:space="preserve">GSTIN    -    07AXXXXXXXXB1ZE
Invoice Number Invoice Date IGST Paid(INR)
XXXMA8  2017-12-12  17084 </t>
  </si>
  <si>
    <t xml:space="preserve">AWB No. Gateway Port Gateway EGM No. Gateway EGM Date Gateway Site ID Error Code
N.A.  INNSA1  141344  2017-12-26 00:00:00.0  INNSA1  C </t>
  </si>
  <si>
    <t xml:space="preserve">IEC CHA No. Job No. Job Date Port of Discharge Total Package Gross Weight (Kg) FOB(INR) Total Cess (INR) Drawback STR Total (DBK+STR) CIN NO. CIN DT. Reward Flag
3393002155  AAACU5306LCH002  8208365  20 DEC 2017 12:12  USNYC  1  316.67  282063.6  0  1374  0  1374  N.A.  N.A.  Click here to view item wise reward details </t>
  </si>
  <si>
    <t xml:space="preserve">Current Que LEO Date EP Copy Print Status DBK Scroll No Scroll Date EGM Integration Status
HIST  22 DEC 2017 00:12  Y  23328/2018  05 JAN 2018 00:01  Y </t>
  </si>
  <si>
    <t xml:space="preserve">EGM No. EGM Date Container No. Seal No. Error Message
R627622812  2017-12-28 0.0.0.0  TCNU6391417  415420  N.A. </t>
  </si>
  <si>
    <t xml:space="preserve">GSTIN    -    06AXXXXXXXXC2Z2
Invoice Number Invoice Date IGST Paid(INR)
XXXXX028  2017-12-14  50771448 </t>
  </si>
  <si>
    <t xml:space="preserve">AWB No. Gateway Port Gateway EGM No. Gateway EGM Date Gateway Site ID Error Code
N.A.  INMUN1  141756  2018-01-02 00:00:00.0  INMUN1  S </t>
  </si>
  <si>
    <t xml:space="preserve">IEC CHA No. Job No. Job Date Port of Discharge Total Package Gross Weight (Kg) FOB(INR) Total Cess (INR) Drawback STR Total (DBK+STR) CIN NO. CIN DT. Reward Flag
0510006329  AEAPD9155RCH001  8210702  20 DEC 2017 12:12  LKCMB  15  631.4  99754.2  0  0  0  0  N.A.  N.A.  Click here to view item wise reward details </t>
  </si>
  <si>
    <t xml:space="preserve">GSTIN    -    06AXXXXXXXXJ1ZI
Invoice Number Invoice Date IGST Paid(INR)
XXXXXXXXXXXXX762  2017-12-16  11970 </t>
  </si>
  <si>
    <t xml:space="preserve">IEC CHA No. Job No. Job Date Port of Discharge Total Package Gross Weight (Kg) FOB(INR) Total Cess (INR) Drawback STR Total (DBK+STR) CIN NO. CIN DT. Reward Flag
0507018591  AAJCA1821BCH001  8220180  20 DEC 2017 12:12  CNSHA  115  1500  504504  0  7166  0  7166  N.A.  N.A.  Click here to view item wise reward details </t>
  </si>
  <si>
    <t xml:space="preserve">Current Que LEO Date EP Copy Print Status DBK Scroll No Scroll Date EGM Integration Status
HIST  27 DEC 2017 00:12  Y  23328/2018  05 JAN 2018 00:01  Y </t>
  </si>
  <si>
    <t xml:space="preserve">EGM No. EGM Date Container No. Seal No. Error Message
R427662812  2017-12-28 0.0.0.0  TCLU3881619  415438  N.A. </t>
  </si>
  <si>
    <t xml:space="preserve">GSTIN    -    06AXXXXXXXXJ1ZK
Invoice Number Invoice Date IGST Paid(INR)
16  2017-12-20  25223 </t>
  </si>
  <si>
    <t xml:space="preserve">AWB No. Gateway Port Gateway EGM No. Gateway EGM Date Gateway Site ID Error Code
N.A.  INNSA1  141116  2017-12-21 00:00:00.0  INNSA1  S </t>
  </si>
  <si>
    <t>2017/12/21</t>
  </si>
  <si>
    <t>IEC CHA No. Job No. Job Date Port of Discharge Total Package Gross Weight (Kg) FOB(INR) Total Cess (INR) Drawback STR Total (DBK+STR) CIN NO. CIN DT. Reward Flag
No Record found</t>
  </si>
  <si>
    <t xml:space="preserve">EGM No. EGM Date Container No. Seal No. Error Message
T1007642212  2017-12-22 0.0.0.0  RFCU2268528  LYNK00542782  N.A. </t>
  </si>
  <si>
    <t xml:space="preserve">GSTIN    -    08AXXXXXXXXD1ZM
Invoice Number Invoice Date IGST Paid(INR)
XXXXXXX646  2017-12-21  471806 </t>
  </si>
  <si>
    <t xml:space="preserve">AWB No. Gateway Port Gateway EGM No. Gateway EGM Date Gateway Site ID Error Code
N.A.  INMUN1  140648  2017-12-13 00:00:00.0  INMUN1  S </t>
  </si>
  <si>
    <t xml:space="preserve">IEC CHA No. Job No. Job Date Port of Discharge Total Package Gross Weight (Kg) FOB(INR) Total Cess (INR) Drawback STR Total (DBK+STR) CIN NO. CIN DT. Reward Flag
0504077171  AKOPK7974PCH001  8235036  21 DEC 2017 12:12  LKCMB  2100  105210  2150512  0  0  0  0  N.A.  N.A.  Click here to view item wise reward details </t>
  </si>
  <si>
    <t xml:space="preserve">Current Que LEO Date EP Copy Print Status DBK Scroll No Scroll Date EGM Integration Status
HIST  26 DEC 2017 00:12  Y  N.A.  N.A.  Y </t>
  </si>
  <si>
    <t xml:space="preserve">EGM No. EGM Date Container No. Seal No. Error Message
J247462712  2017-12-27 0.0.0.0  CAIU3885876  414651  N.A. </t>
  </si>
  <si>
    <t xml:space="preserve">GSTIN    -    06AXXXXXXXXB1ZF
Invoice Number Invoice Date IGST Paid(INR)
115  2017-12-20  3753 </t>
  </si>
  <si>
    <t xml:space="preserve">IEC CHA No. Job No. Job Date Port of Discharge Total Package Gross Weight (Kg) FOB(INR) Total Cess (INR) Drawback STR Total (DBK+STR) CIN NO. CIN DT. Reward Flag
0595012647  AAACC6689ECH001  8244778  21 DEC 2017 12:12  PKKHI  2755  47663  7558071.89  0  113371  0  113371  N.A.  N.A.  Click here to view item wise reward details </t>
  </si>
  <si>
    <t xml:space="preserve">Current Que LEO Date EP Copy Print Status DBK Scroll No Scroll Date EGM Integration Status
HIST  26 DEC 2017 00:12  Y  23328/2018  05 JAN 2018 00:01  Y </t>
  </si>
  <si>
    <t xml:space="preserve">EGM No. EGM Date Container No. Seal No. Error Message
Z17883012  2017-12-30 0.0.0.0  CRSU9314842  001894  N.A. </t>
  </si>
  <si>
    <t xml:space="preserve">GSTIN    -    07AXXXXXXXXB1ZR
Invoice Number Invoice Date IGST Paid(INR)
XXXXXXXXX-18  2017-12-21  7550 </t>
  </si>
  <si>
    <t xml:space="preserve">AWB No. Gateway Port Gateway EGM No. Gateway EGM Date Gateway Site ID Error Code
N.A.  INMUN1  141078  2017-12-21 00:00:00.0  INMUN1  S </t>
  </si>
  <si>
    <t>2017/12/22</t>
  </si>
  <si>
    <t xml:space="preserve">IEC CHA No. Job No. Job Date Port of Discharge Total Package Gross Weight (Kg) FOB(INR) Total Cess (INR) Drawback STR Total (DBK+STR) CIN NO. CIN DT. Reward Flag
0589036734  AEOPA9390KCH001  8257770  22 DEC 2017 12:12  DKCOP  2  510.43  533837.76  0  10677  0  10677  N.A.  N.A.  Click here to view item wise reward details </t>
  </si>
  <si>
    <t xml:space="preserve">EGM No. EGM Date Container No. Seal No. Error Message
R987702912  2017-12-29 0.0.0.0  HASU4458235  415458  N.A. </t>
  </si>
  <si>
    <t xml:space="preserve">GSTIN    -    02AXXXXXXXXK1ZJ
Invoice Number Invoice Date IGST Paid(INR)
XXXXXXXXXXXXXX-18  2017-12-20  96086 </t>
  </si>
  <si>
    <t xml:space="preserve">AWB No. Gateway Port Gateway EGM No. Gateway EGM Date Gateway Site ID Error Code
N.A.  INMUN1  141502  2017-12-27 00:00:00.0  INMUN1  S </t>
  </si>
  <si>
    <t xml:space="preserve">EGM No. EGM Date Container No. Seal No. Error Message
R827422712  2017-12-27 0.0.0.0  TCKU3346030  LYNK00542784  N.A. </t>
  </si>
  <si>
    <t xml:space="preserve">GSTIN    -    08AXXXXXXXXD1ZM
Invoice Number Invoice Date IGST Paid(INR)
XXXXXXX649  2017-12-21  426808 
XXXXXXX650  2017-12-21  44889 </t>
  </si>
  <si>
    <t xml:space="preserve">AWB No. Gateway Port Gateway EGM No. Gateway EGM Date Gateway Site ID Error Code
N.A.  INMUN1  141142  2017-12-21 00:00:00.0  INMUN1  S </t>
  </si>
  <si>
    <t xml:space="preserve">IEC CHA No. Job No. Job Date Port of Discharge Total Package Gross Weight (Kg) FOB(INR) Total Cess (INR) Drawback STR Total (DBK+STR) CIN NO. CIN DT. Reward Flag
0503010316  AHDPK8975CCH001  8269759  22 DEC 2017 12:12  AEJEA  14  6261  2955037.34  0  44326  0  44326  N.A.  N.A.  Click here to view item wise reward details </t>
  </si>
  <si>
    <t xml:space="preserve">Current Que LEO Date EP Copy Print Status DBK Scroll No Scroll Date EGM Integration Status
HIST  28 DEC 2017 00:12  Y  24432/2018  25 MAR 2018 00:03  Y </t>
  </si>
  <si>
    <t xml:space="preserve">EGM No. EGM Date Container No. Seal No. Error Message
Z17883012  2017-12-30 0.0.0.0  HDMU2472219  415642  N.A. </t>
  </si>
  <si>
    <t xml:space="preserve">GSTIN    -    06AXXXXXXXXG1ZP
Invoice Number Invoice Date IGST Paid(INR)
XXXXXXXXXXXXX164  2017-12-20  1522 </t>
  </si>
  <si>
    <t xml:space="preserve">AWB No. Gateway Port Gateway EGM No. Gateway EGM Date Gateway Site ID Error Code
N.A.  INMUN1  141855  2018-01-03 00:00:00.0  INMUN1  S </t>
  </si>
  <si>
    <t>2017/12/23</t>
  </si>
  <si>
    <t xml:space="preserve">IEC CHA No. Job No. Job Date Port of Discharge Total Package Gross Weight (Kg) FOB(INR) Total Cess (INR) Drawback STR Total (DBK+STR) CIN NO. CIN DT. Reward Flag
0511006519  AAEFP2740ECH001  8293657  23 DEC 2017 12:12  ZAJNB  791  14631.06  3149801.42  0  62856  0  62856  N.A.  N.A.  Click here to view item wise reward details </t>
  </si>
  <si>
    <t xml:space="preserve">EGM No. EGM Date Container No. Seal No. Error Message
R827422712  2017-12-27 0.0.0.0  PONU0253154  LYNK00564451  N.A. </t>
  </si>
  <si>
    <t xml:space="preserve">GSTIN    -    06AXXXXXXXXN1ZD
Invoice Number Invoice Date IGST Paid(INR)
XXX112  2017-12-11  6208 </t>
  </si>
  <si>
    <t xml:space="preserve">AWB No. Gateway Port Gateway EGM No. Gateway EGM Date Gateway Site ID Error Code
N.A.  INMUN1  141901  2018-01-03 00:00:00.0  INMUN1  S </t>
  </si>
  <si>
    <t>2017/12/26</t>
  </si>
  <si>
    <t xml:space="preserve">IEC CHA No. Job No. Job Date Port of Discharge Total Package Gross Weight (Kg) FOB(INR) Total Cess (INR) Drawback STR Total (DBK+STR) CIN NO. CIN DT. Reward Flag
0504077171  AKOPK7974PCH001  8315926  26 DEC 2017 12:12  LKCMB  2100  105210  2133632  0  0  0  0  N.A.  N.A.  Click here to view item wise reward details </t>
  </si>
  <si>
    <t xml:space="preserve">Current Que LEO Date EP Copy Print Status DBK Scroll No Scroll Date EGM Integration Status
HIST  28 DEC 2017 00:12  Y  N.A.  N.A.  Y </t>
  </si>
  <si>
    <t xml:space="preserve">EGM No. EGM Date Container No. Seal No. Error Message
J477923112  2017-12-31 0.0.0.0  DFSU1161364  GEID00000171  N.A. </t>
  </si>
  <si>
    <t xml:space="preserve">GSTIN    -    06AXXXXXXXXB1ZF
Invoice Number Invoice Date IGST Paid(INR)
116  2017-12-25  3753 </t>
  </si>
  <si>
    <t xml:space="preserve">AWB No. Gateway Port Gateway EGM No. Gateway EGM Date Gateway Site ID Error Code
N.A.  INMUN1  142133  2018-01-08 00:00:00.0  INMUN1  S </t>
  </si>
  <si>
    <t xml:space="preserve">IEC CHA No. Job No. Job Date Port of Discharge Total Package Gross Weight (Kg) FOB(INR) Total Cess (INR) Drawback STR Total (DBK+STR) CIN NO. CIN DT. Reward Flag
0500068241  AADFT2787LCH001  8316108  26 DEC 2017 12:12  TWKEL  34  1135  2392120  0  35882  0  35882  N.A.  N.A.  Click here to view item wise reward details </t>
  </si>
  <si>
    <t xml:space="preserve">EGM No. EGM Date Container No. Seal No. Error Message
R427662812  2017-12-28 0.0.0.0  TRLU7452102  415457  N.A. </t>
  </si>
  <si>
    <t xml:space="preserve">GSTIN    -    07AXXXXXXXXK1ZR
Invoice Number Invoice Date IGST Paid(INR)
065  2017-12-23  287054 </t>
  </si>
  <si>
    <t xml:space="preserve">IEC CHA No. Job No. Job Date Port of Discharge Total Package Gross Weight (Kg) FOB(INR) Total Cess (INR) Drawback STR Total (DBK+STR) CIN NO. CIN DT. Reward Flag
0595012647  AAACC6689ECH001  8322216  26 DEC 2017 12:12  PKKHI  1185  16223  14360970  0  215415  0  215415  N.A.  N.A.  Click here to view item wise reward details </t>
  </si>
  <si>
    <t xml:space="preserve">Current Que LEO Date EP Copy Print Status DBK Scroll No Scroll Date EGM Integration Status
HIST  30 DEC 2017 00:12  Y  23414/2018  12 JAN 2018 00:01  Y </t>
  </si>
  <si>
    <t xml:space="preserve">EGM No. EGM Date Container No. Seal No. Error Message
R1667320301  2018-1-3 0.0.0.0  SEGU4806945  416065  N.A. </t>
  </si>
  <si>
    <t xml:space="preserve">GSTIN    -    07AXXXXXXXXB1ZR
Invoice Number Invoice Date IGST Paid(INR)
XXXXXXXXX-18  2017-12-22  14360 </t>
  </si>
  <si>
    <t xml:space="preserve">AWB No. Gateway Port Gateway EGM No. Gateway EGM Date Gateway Site ID Error Code
N.A.  INMUN1  141230  2017-12-22 00:00:00.0  INMUN1  S </t>
  </si>
  <si>
    <t xml:space="preserve">IEC CHA No. Job No. Job Date Port of Discharge Total Package Gross Weight (Kg) FOB(INR) Total Cess (INR) Drawback STR Total (DBK+STR) CIN NO. CIN DT. Reward Flag
0589036734  AEOPA9390KCH001  8322916  26 DEC 2017 12:12  DKCOP  2  387.02  431681.28  0  8634  0  8634  N.A.  N.A.  Click here to view item wise reward details </t>
  </si>
  <si>
    <t xml:space="preserve">GSTIN    -    02AXXXXXXXXK1ZJ
Invoice Number Invoice Date IGST Paid(INR)
XXXXXXXXXXXXXX-18  2017-12-23  77699 </t>
  </si>
  <si>
    <t xml:space="preserve">IEC CHA No. Job No. Job Date Port of Discharge Total Package Gross Weight (Kg) FOB(INR) Total Cess (INR) Drawback STR Total (DBK+STR) CIN NO. CIN DT. Reward Flag
0513039759  AKMPA9089KCH001  8330316  26 DEC 2017 12:12  IRBND  349  7500  1312284.8  0  19684  0  19684  N.A.  N.A.  Click here to view item wise reward details </t>
  </si>
  <si>
    <t xml:space="preserve">Current Que LEO Date EP Copy Print Status DBK Scroll No Scroll Date EGM Integration Status
HIST  28 DEC 2017 00:12  Y  23414/2018  12 JAN 2018 00:01  Y </t>
  </si>
  <si>
    <t xml:space="preserve">EGM No. EGM Date Container No. Seal No. Error Message
R1577680501  2018-1-5 0.0.0.0  TCNU9903836  416467  N.A. </t>
  </si>
  <si>
    <t xml:space="preserve">GSTIN    -    07AXXXXXXXXK1Z5
Invoice Number Invoice Date IGST Paid(INR)
XXXXXXXXXXXXXX-18  2017-12-25  238078 </t>
  </si>
  <si>
    <t xml:space="preserve">IEC CHA No. Job No. Job Date Port of Discharge Total Package Gross Weight (Kg) FOB(INR) Total Cess (INR) Drawback STR Total (DBK+STR) CIN NO. CIN DT. Reward Flag
0503019321  AXAPK5104ECH001  8332795  26 DEC 2017 12:12  LKCMB  74  8894.8  1963168.33  0  35337  0  35337  N.A.  N.A.  Click here to view item wise reward details </t>
  </si>
  <si>
    <t xml:space="preserve">Current Que LEO Date EP Copy Print Status DBK Scroll No Scroll Date EGM Integration Status
HIST  29 DEC 2017 00:12  Y  24432/2018  25 MAR 2018 00:03  Y </t>
  </si>
  <si>
    <t xml:space="preserve">EGM No. EGM Date Container No. Seal No. Error Message
J187200201  2018-1-2 0.0.0.0  TRHU1718645  415796  N.A. </t>
  </si>
  <si>
    <t xml:space="preserve">GSTIN    -    08AXXXXXXXXA1ZT
Invoice Number Invoice Date IGST Paid(INR)
XXX/02  2017-12-26  99422 </t>
  </si>
  <si>
    <t>2017/12/27</t>
  </si>
  <si>
    <t xml:space="preserve">IEC CHA No. Job No. Job Date Port of Discharge Total Package Gross Weight (Kg) FOB(INR) Total Cess (INR) Drawback STR Total (DBK+STR) CIN NO. CIN DT. Reward Flag
0504077171  AKOPK7974PCH001  8352771  27 DEC 2017 12:12  LKCMB  2100  105210  2133632  0  0  0  0  N.A.  N.A.  Click here to view item wise reward details </t>
  </si>
  <si>
    <t xml:space="preserve">Current Que LEO Date EP Copy Print Status DBK Scroll No Scroll Date EGM Integration Status
HIST  29 DEC 2017 00:12  Y  N.A.  N.A.  Y </t>
  </si>
  <si>
    <t xml:space="preserve">EGM No. EGM Date Container No. Seal No. Error Message
J477923112  2017-12-31 0.0.0.0  CAIU2296399  GEID00000177  N.A. </t>
  </si>
  <si>
    <t xml:space="preserve">GSTIN    -    06AXXXXXXXXB1ZF
Invoice Number Invoice Date IGST Paid(INR)
117  2017-12-26  4081 </t>
  </si>
  <si>
    <t xml:space="preserve">IEC CHA No. Job No. Job Date Port of Discharge Total Package Gross Weight (Kg) FOB(INR) Total Cess (INR) Drawback STR Total (DBK+STR) CIN NO. CIN DT. Reward Flag
0509025765  AFFPC6074GCH001  8353709  27 DEC 2017 12:12  MUPLU  58  1500  725799  0  0  0  0  N.A.  N.A.  Click here to view item wise reward details </t>
  </si>
  <si>
    <t xml:space="preserve">EGM No. EGM Date Container No. Seal No. Error Message
T987020101  2018-1-1 0.0.0.0  HJCU1719711  415025  N.A. </t>
  </si>
  <si>
    <t xml:space="preserve">GSTIN    -    07AXXXXXXXXP1Z3
Invoice Number Invoice Date IGST Paid(INR)
X021  2017-12-14  32148 
X022  2017-12-14  27327 
X023  2017-12-14  29400 </t>
  </si>
  <si>
    <t xml:space="preserve">AWB No. Gateway Port Gateway EGM No. Gateway EGM Date Gateway Site ID Error Code
N.A.  INNSA1  141394  2017-12-26 00:00:00.0  INNSA1  S </t>
  </si>
  <si>
    <t xml:space="preserve">IEC CHA No. Job No. Job Date Port of Discharge Total Package Gross Weight (Kg) FOB(INR) Total Cess (INR) Drawback STR Total (DBK+STR) CIN NO. CIN DT. Reward Flag
1210001128  AACCA3147PCH001  8355698  27 DEC 2017 12:12  VNHPH  12  412.3  237283.4  0  6407  0  6407  N.A.  N.A.  Click here to view item wise reward details </t>
  </si>
  <si>
    <t xml:space="preserve">Current Que LEO Date EP Copy Print Status DBK Scroll No Scroll Date EGM Integration Status
HIST  03 JAN 2018 00:01  Y  23481/2018  18 JAN 2018 00:01  Y </t>
  </si>
  <si>
    <t xml:space="preserve">EGM No. EGM Date Container No. Seal No. Error Message
T437021401  2018-1-14 0.0.0.0  TEMU0782559  417070  N.A. </t>
  </si>
  <si>
    <t xml:space="preserve">GSTIN    -    03AXXXXXXXXP1ZA
Invoice Number Invoice Date IGST Paid(INR)
XXXX937  2017-12-19  11723 </t>
  </si>
  <si>
    <t xml:space="preserve">AWB No. Gateway Port Gateway EGM No. Gateway EGM Date Gateway Site ID Error Code
N.A.  INMUN1  143166  2018-01-23 00:00:00.0  INMUN1  S </t>
  </si>
  <si>
    <t xml:space="preserve">IEC CHA No. Job No. Job Date Port of Discharge Total Package Gross Weight (Kg) FOB(INR) Total Cess (INR) Drawback STR Total (DBK+STR) CIN NO. CIN DT. Reward Flag
0595012647  AAACC6689ECH001  8362130  27 DEC 2017 12:12  PKKHI  1457  24031  4832083.66  0  72481  0  72481  N.A.  N.A.  Click here to view item wise reward details </t>
  </si>
  <si>
    <t xml:space="preserve">EGM No. EGM Date Container No. Seal No. Error Message
R1667320301  2018-1-3 0.0.0.0  SEGU4785903  001898  N.A. </t>
  </si>
  <si>
    <t xml:space="preserve">GSTIN    -    07AXXXXXXXXB1ZR
Invoice Number Invoice Date IGST Paid(INR)
XXXXXXXXX-18  2017-12-27  4829 </t>
  </si>
  <si>
    <t xml:space="preserve">IEC CHA No. Job No. Job Date Port of Discharge Total Package Gross Weight (Kg) FOB(INR) Total Cess (INR) Drawback STR Total (DBK+STR) CIN NO. CIN DT. Reward Flag
0595012647  AAACC6689ECH001  8362200  27 DEC 2017 12:12  PKKHI  2652  48008  11120240.98  0  166804  0  166804  N.A.  N.A.  Click here to view item wise reward details </t>
  </si>
  <si>
    <t xml:space="preserve">EGM No. EGM Date Container No. Seal No. Error Message
R1667320301  2018-1-3 0.0.0.0  TCNU7193524  001896  N.A. </t>
  </si>
  <si>
    <t xml:space="preserve">GSTIN    -    07AXXXXXXXXB1ZR
Invoice Number Invoice Date IGST Paid(INR)
XXXXXXXXX-18  2017-12-27  11114 </t>
  </si>
  <si>
    <t>2017/12/28</t>
  </si>
  <si>
    <t xml:space="preserve">IEC CHA No. Job No. Job Date Port of Discharge Total Package Gross Weight (Kg) FOB(INR) Total Cess (INR) Drawback STR Total (DBK+STR) CIN NO. CIN DT. Reward Flag
0504077171  AKOPK7974PCH001  8384285  28 DEC 2017 12:12  LKCMB  2100  105210  2133632  0  0  0  0  N.A.  N.A.  Click here to view item wise reward details </t>
  </si>
  <si>
    <t xml:space="preserve">Current Que LEO Date EP Copy Print Status DBK Scroll No Scroll Date EGM Integration Status
HIST  01 JAN 2018 00:01  Y  N.A.  N.A.  Y </t>
  </si>
  <si>
    <t xml:space="preserve">EGM No. EGM Date Container No. Seal No. Error Message
TX207260201  2018-1-2 0.0.0.0  HDMU2596246  GEID00000181  N.A. </t>
  </si>
  <si>
    <t xml:space="preserve">GSTIN    -    06AXXXXXXXXB1ZF
Invoice Number Invoice Date IGST Paid(INR)
118  2017-12-27  3647 </t>
  </si>
  <si>
    <t xml:space="preserve">AWB No. Gateway Port Gateway EGM No. Gateway EGM Date Gateway Site ID Error Code
N.A.  INMUN1  142479  2018-01-12 00:00:00.0  INMUN1  S </t>
  </si>
  <si>
    <t xml:space="preserve">IEC CHA No. Job No. Job Date Port of Discharge Total Package Gross Weight (Kg) FOB(INR) Total Cess (INR) Drawback STR Total (DBK+STR) CIN NO. CIN DT. Reward Flag
0500050139  AACFL6638BCH001  8398812  28 DEC 2017 12:12  BJCOO  612  21217  6059616  0  0  0  0  N.A.  N.A.  Click here to view item wise reward details </t>
  </si>
  <si>
    <t xml:space="preserve">EGM No. EGM Date Container No. Seal No. Error Message
J477923112  2017-12-31 0.0.0.0  MSKU2326584  415287  N.A. </t>
  </si>
  <si>
    <t xml:space="preserve">GSTIN    -    07AXXXXXXXXF1ZU
Invoice Number Invoice Date IGST Paid(INR)
XXXXXXX072  2017-12-26  727153 </t>
  </si>
  <si>
    <t xml:space="preserve">AWB No. Gateway Port Gateway EGM No. Gateway EGM Date Gateway Site ID Error Code
N.A.  INMUN1  141264  2017-12-23 00:00:00.0  INMUN1  S </t>
  </si>
  <si>
    <t>2017/12/29</t>
  </si>
  <si>
    <t xml:space="preserve">EGM No. EGM Date Container No. Seal No. Error Message
R287920701  2018-1-7 0.0.0.0  BAXU5062245  416534  N.A. </t>
  </si>
  <si>
    <t xml:space="preserve">GSTIN    -    08AXXXXXXXXD1ZM
Invoice Number Invoice Date IGST Paid(INR)
XXXXXXX687  2017-12-28  233780 </t>
  </si>
  <si>
    <t xml:space="preserve">AWB No. Gateway Port Gateway EGM No. Gateway EGM Date Gateway Site ID Error Code
N.A.  INNSA1  142173  2018-01-08 00:00:00.0  INNSA1  S </t>
  </si>
  <si>
    <t xml:space="preserve">IEC CHA No. Job No. Job Date Port of Discharge Total Package Gross Weight (Kg) FOB(INR) Total Cess (INR) Drawback STR Total (DBK+STR) CIN NO. CIN DT. Reward Flag
0504077171  AKOPK7974PCH001  8412479  29 DEC 2017 12:12  LKCMB  2100  105210  2664512  0  0  0  0  N.A.  N.A.  Click here to view item wise reward details </t>
  </si>
  <si>
    <t xml:space="preserve">Current Que LEO Date EP Copy Print Status DBK Scroll No Scroll Date EGM Integration Status
HIST  02 JAN 2018 00:01  Y  N.A.  N.A.  Y </t>
  </si>
  <si>
    <t xml:space="preserve">EGM No. EGM Date Container No. Seal No. Error Message
R937340301  2018-1-3 0.0.0.0  TCLU3282230  GEID00000186  N.A. </t>
  </si>
  <si>
    <t xml:space="preserve">GSTIN    -    06AXXXXXXXXB1ZF
Invoice Number Invoice Date IGST Paid(INR)
119  2017-12-28  4082 </t>
  </si>
  <si>
    <t xml:space="preserve">AWB No. Gateway Port Gateway EGM No. Gateway EGM Date Gateway Site ID Error Code
N.A.  INPAV1  141634  2017-12-29 00:00:00.0  INPAV1  S </t>
  </si>
  <si>
    <t xml:space="preserve">IEC CHA No. Job No. Job Date Port of Discharge Total Package Gross Weight (Kg) FOB(INR) Total Cess (INR) Drawback STR Total (DBK+STR) CIN NO. CIN DT. Reward Flag
0589036734  AEOPA9390KCH001  8413784  29 DEC 2017 12:12  DKCOP  2  507.76  467680  0  9354  0  9354  N.A.  N.A.  Click here to view item wise reward details </t>
  </si>
  <si>
    <t xml:space="preserve">Current Que LEO Date EP Copy Print Status DBK Scroll No Scroll Date EGM Integration Status
HIST  30 DEC 2017 00:12  Y  24432/2018  25 MAR 2018 00:03  Y </t>
  </si>
  <si>
    <t xml:space="preserve">EGM No. EGM Date Container No. Seal No. Error Message
T897341001  2018-1-10 0.0.0.0  HLXU8630693  416587  N.A. </t>
  </si>
  <si>
    <t xml:space="preserve">GSTIN    -    02AXXXXXXXXK1ZJ
Invoice Number Invoice Date IGST Paid(INR)
XXXXXXXXXXXXXX-18  2017-12-28  84175 </t>
  </si>
  <si>
    <t xml:space="preserve">AWB No. Gateway Port Gateway EGM No. Gateway EGM Date Gateway Site ID Error Code
N.A.  INMUN1  141770  2018-01-02 00:00:00.0  INMUN1  S </t>
  </si>
  <si>
    <t xml:space="preserve">EGM No. EGM Date Container No. Seal No. Error Message
R1977520401  2018-1-4 0.0.0.0  TRLU7451153  415871  N.A. </t>
  </si>
  <si>
    <t xml:space="preserve">GSTIN    -    08AXXXXXXXXD1ZM
Invoice Number Invoice Date IGST Paid(INR)
XXXXXXX697  2017-12-29  22519 </t>
  </si>
  <si>
    <t xml:space="preserve">AWB No. Gateway Port Gateway EGM No. Gateway EGM Date Gateway Site ID Error Code
N.A.  INNSA1  141170  2017-12-22 00:00:00.0  INNSA1  S </t>
  </si>
  <si>
    <t>2017/12/30</t>
  </si>
  <si>
    <t xml:space="preserve">IEC CHA No. Job No. Job Date Port of Discharge Total Package Gross Weight (Kg) FOB(INR) Total Cess (INR) Drawback STR Total (DBK+STR) CIN NO. CIN DT. Reward Flag
0588128180  ADFFS3281FCH001  8448407  30 DEC 2017 12:12  NZAKL  22  490  93220  0  0  0  0  N.A.  N.A.  Click here to view item wise reward details </t>
  </si>
  <si>
    <t xml:space="preserve">Current Que LEO Date EP Copy Print Status DBK Scroll No Scroll Date EGM Integration Status
HIST  05 JAN 2018 00:01  Y  N.A.  N.A.  Y </t>
  </si>
  <si>
    <t xml:space="preserve">GSTIN    -    07AXXXXXXXXJ1Z1
Invoice Number Invoice Date IGST Paid(INR)
XXXXXXXX/17  2017-12-28  1137 </t>
  </si>
  <si>
    <t xml:space="preserve">IEC CHA No. Job No. Job Date Port of Discharge Total Package Gross Weight (Kg) FOB(INR) Total Cess (INR) Drawback STR Total (DBK+STR) CIN NO. CIN DT. Reward Flag
AGEPB3375R  AHDPK8975CCH001  8449353  30 DEC 2017 12:12  AEJEA  3  481  85446.4  0  1709  0  1709  N.A.  N.A.  Click here to view item wise reward details </t>
  </si>
  <si>
    <t xml:space="preserve">Current Que LEO Date EP Copy Print Status DBK Scroll No Scroll Date EGM Integration Status
HIST  04 JAN 2018 00:01  Y  23414/2018  12 JAN 2018 00:01  Y </t>
  </si>
  <si>
    <t xml:space="preserve">EGM No. EGM Date Container No. Seal No. Error Message
R1177860601  2018-1-6 0.0.0.0  CRSU1073564  416539  N.A. </t>
  </si>
  <si>
    <t xml:space="preserve">GSTIN    -    06AXXXXXXXXR1Z3
Invoice Number Invoice Date IGST Paid(INR)
XXXXXXXXXXXXXXOL-  2017-12-29  15380 </t>
  </si>
  <si>
    <t xml:space="preserve">AWB No. Gateway Port Gateway EGM No. Gateway EGM Date Gateway Site ID Error Code
N.A.  INMUN1  142204  2018-01-09 00:00:00.0  INMUN1  S </t>
  </si>
  <si>
    <t xml:space="preserve">IEC CHA No. Job No. Job Date Port of Discharge Total Package Gross Weight (Kg) FOB(INR) Total Cess (INR) Drawback STR Total (DBK+STR) CIN NO. CIN DT. Reward Flag
0595012647  AAACC6689ECH001  8453171  30 DEC 2017 12:12  PKKHI  1369  20982  5534737.47  0  83021  0  83021  N.A.  N.A.  Click here to view item wise reward details </t>
  </si>
  <si>
    <t xml:space="preserve">Current Que LEO Date EP Copy Print Status DBK Scroll No Scroll Date EGM Integration Status
HIST  05 JAN 2018 00:01  Y  23414/2018  12 JAN 2018 00:01  Y </t>
  </si>
  <si>
    <t xml:space="preserve">EGM No. EGM Date Container No. Seal No. Error Message
R127160801  2018-1-8 0.0.0.0  DFSU7698896  001899  N.A. </t>
  </si>
  <si>
    <t xml:space="preserve">GSTIN    -    07AXXXXXXXXB1ZR
Invoice Number Invoice Date IGST Paid(INR)
XXXXXXXXX-18  2017-12-30  5530 </t>
  </si>
  <si>
    <t xml:space="preserve">AWB No. Gateway Port Gateway EGM No. Gateway EGM Date Gateway Site ID Error Code
N.A.  INMUN1  141231  2017-12-22 00:00:00.0  INMUN1  S </t>
  </si>
  <si>
    <t xml:space="preserve">IEC CHA No. Job No. Job Date Port of Discharge Total Package Gross Weight (Kg) FOB(INR) Total Cess (INR) Drawback STR Total (DBK+STR) CIN NO. CIN DT. Reward Flag
0595012647  AAACC6689ECH001  8454665  30 DEC 2017 12:12  PKKHI  950  11875  4250832  0  63762  0  63762  N.A.  N.A.  Click here to view item wise reward details </t>
  </si>
  <si>
    <t xml:space="preserve">Current Que LEO Date EP Copy Print Status DBK Scroll No Scroll Date EGM Integration Status
HIST  06 JAN 2018 00:01  Y  23643/2018  31 JAN 2018 00:01  Y </t>
  </si>
  <si>
    <t xml:space="preserve">EGM No. EGM Date Container No. Seal No. Error Message
R557701201  2018-1-12 0.0.0.0  BMOU6247406  416849  N.A. </t>
  </si>
  <si>
    <t xml:space="preserve">GSTIN    -    07AXXXXXXXXB1ZR
Invoice Number Invoice Date IGST Paid(INR)
XXXXXXXXX-18  2017-12-27  4250 </t>
  </si>
  <si>
    <t>Count of Clainmed and Not Claimed for ROSL</t>
  </si>
  <si>
    <t>Clainmed and Not Claimed for ROSL</t>
  </si>
  <si>
    <t>NULL</t>
  </si>
  <si>
    <t>ROSL CLAIMED</t>
  </si>
  <si>
    <t>ROSL NOT CLAIMED</t>
  </si>
  <si>
    <t>Grand Total</t>
  </si>
  <si>
    <t>TUGLAKABAD ICD (INTKD6) Total</t>
  </si>
  <si>
    <t>Count of Details</t>
  </si>
  <si>
    <t>GSTIN    -    02AXXXXXXXXK1ZJ
Invoice Number Invoice Date IGST Paid(INR)
XXXXXXXXXXXXXX-18  2017-12-16  94893  Total</t>
  </si>
  <si>
    <t xml:space="preserve">0677  0  10677 </t>
  </si>
  <si>
    <t>GSTIN    -    02AXXXXXXXXK1ZJ
Invoice Number Invoice Date IGST Paid(INR)
XXXXXXXXXXXXXX-18  2017-12-20  96086  Total</t>
  </si>
  <si>
    <t>GSTIN    -    02AXXXXXXXXK1ZJ
Invoice Number Invoice Date IGST Paid(INR)
XXXXXXXXXXXXXX-18  2017-12-23  77699  Total</t>
  </si>
  <si>
    <t>GSTIN    -    02AXXXXXXXXK1ZJ
Invoice Number Invoice Date IGST Paid(INR)
XXXXXXXXXXXXXX-18  2017-12-28  84175  Total</t>
  </si>
  <si>
    <t>0698  30 NOV 20</t>
  </si>
  <si>
    <t>GSTIN    -    02AXXXXXXXXR2Z6
Invoice Number Invoice Date IGST Paid(INR)
XXXXXXXXXXXXXX25/  2017-11-29  1841  Total</t>
  </si>
  <si>
    <t>GSTIN    -    03AXXXXXXXXE1ZC
Invoice Number Invoice Date IGST Paid(INR)
E53  2017-12-14  88028  Total</t>
  </si>
  <si>
    <t>0621  AGVPS9920</t>
  </si>
  <si>
    <t>GSTIN    -    03AXXXXXXXXJ1Z2
Invoice Number Invoice Date IGST Paid(INR)
XXXXXXXXXX018  2017-11-16  295102  Total</t>
  </si>
  <si>
    <t>06QCH001  78597</t>
  </si>
  <si>
    <t>GSTIN    -    03AXXXXXXXXK1Z0
Invoice Number Invoice Date IGST Paid(INR)
665  2017-11-28  67868  Total</t>
  </si>
  <si>
    <t>06  5248128  09</t>
  </si>
  <si>
    <t>GSTIN    -    03AXXXXXXXXL1Z0
Invoice Number Invoice Date IGST Paid(INR)
XXXX736  2017-08-09  111367  Total</t>
  </si>
  <si>
    <t xml:space="preserve">0684  0  10684 </t>
  </si>
  <si>
    <t>GSTIN    -    03AXXXXXXXXN2Z7
Invoice Number Invoice Date IGST Paid(INR)
04  2017-11-02  198470  Total</t>
  </si>
  <si>
    <t>GSTIN    -    03AXXXXXXXXP1ZA
Invoice Number Invoice Date IGST Paid(INR)
XXXX937  2017-12-19  11723  Total</t>
  </si>
  <si>
    <t>GSTIN    -    03AXXXXXXXXP1ZK
Invoice Number Invoice Date IGST Paid(INR)
XE/2  2017-09-06  42767  Total</t>
  </si>
  <si>
    <t>GSTIN    -    03AXXXXXXXXQ1Z4
Invoice Number Invoice Date IGST Paid(INR)
XXXXXXXXX-18  2017-09-18  210622  Total</t>
  </si>
  <si>
    <t>GSTIN    -    04AXXXXXXXXF1ZC
Invoice Number Invoice Date IGST Paid(INR)
05  2017-12-02  1022  Total</t>
  </si>
  <si>
    <t>06062538  AAQPP</t>
  </si>
  <si>
    <t>GSTIN    -    05AXXXXXXXXJ1ZY
Invoice Number Invoice Date IGST Paid(INR)
002  2017-09-12  81316  Total</t>
  </si>
  <si>
    <t>06LCH002  63897</t>
  </si>
  <si>
    <t>GSTIN    -    05AXXXXXXXXL3ZW
Invoice Number Invoice Date IGST Paid(INR)
XXXX228  2017-09-06  54545  Total</t>
  </si>
  <si>
    <t>GSTIN    -    06AXXXXXXXXA1Z5
Invoice Number Invoice Date IGST Paid(INR)
XXXXXXX-18  2017-07-11  49321  Total</t>
  </si>
  <si>
    <t>06 DEC 2017 12:</t>
  </si>
  <si>
    <t>GSTIN    -    06AXXXXXXXXB1ZF
Invoice Number Invoice Date IGST Paid(INR)
108  2017-12-05  4158  Total</t>
  </si>
  <si>
    <t>06837  07 DEC 2</t>
  </si>
  <si>
    <t>GSTIN    -    06AXXXXXXXXB1ZF
Invoice Number Invoice Date IGST Paid(INR)
109  2017-12-06  4158  Total</t>
  </si>
  <si>
    <t>GSTIN    -    06AXXXXXXXXB1ZF
Invoice Number Invoice Date IGST Paid(INR)
110  2017-12-07  4158  Total</t>
  </si>
  <si>
    <t>GSTIN    -    06AXXXXXXXXB1ZF
Invoice Number Invoice Date IGST Paid(INR)
111  2017-12-11  4158  Total</t>
  </si>
  <si>
    <t>GSTIN    -    06AXXXXXXXXB1ZF
Invoice Number Invoice Date IGST Paid(INR)
112  2017-12-13  4158  Total</t>
  </si>
  <si>
    <t>GSTIN    -    06AXXXXXXXXB1ZF
Invoice Number Invoice Date IGST Paid(INR)
113  2017-12-15  3753  Total</t>
  </si>
  <si>
    <t>GSTIN    -    06AXXXXXXXXB1ZF
Invoice Number Invoice Date IGST Paid(INR)
114  2017-12-18  3753  Total</t>
  </si>
  <si>
    <t>GSTIN    -    06AXXXXXXXXB1ZF
Invoice Number Invoice Date IGST Paid(INR)
115  2017-12-20  3753  Total</t>
  </si>
  <si>
    <t>GSTIN    -    06AXXXXXXXXB1ZF
Invoice Number Invoice Date IGST Paid(INR)
116  2017-12-25  3753  Total</t>
  </si>
  <si>
    <t>GSTIN    -    06AXXXXXXXXB1ZF
Invoice Number Invoice Date IGST Paid(INR)
117  2017-12-26  4081  Total</t>
  </si>
  <si>
    <t>GSTIN    -    06AXXXXXXXXB1ZF
Invoice Number Invoice Date IGST Paid(INR)
118  2017-12-27  3647  Total</t>
  </si>
  <si>
    <t>GSTIN    -    06AXXXXXXXXB1ZF
Invoice Number Invoice Date IGST Paid(INR)
119  2017-12-28  4082  Total</t>
  </si>
  <si>
    <t>061428  AHVPD51</t>
  </si>
  <si>
    <t>GSTIN    -    06AXXXXXXXXB1ZO
Invoice Number Invoice Date IGST Paid(INR)
074  2017-10-05  57708  Total</t>
  </si>
  <si>
    <t>063865  ARPPK33</t>
  </si>
  <si>
    <t>GSTIN    -    06AXXXXXXXXB1ZW
Invoice Number Invoice Date IGST Paid(INR)
XXXXXX338  2017-09-12  5036  Total</t>
  </si>
  <si>
    <t>GSTIN    -    06AXXXXXXXXC1ZC
Invoice Number Invoice Date IGST Paid(INR)
1  2017-10-26  25511  Total</t>
  </si>
  <si>
    <t>06.6  2535422.6</t>
  </si>
  <si>
    <t>GSTIN    -    06AXXXXXXXXC1ZF
Invoice Number Invoice Date IGST Paid(INR)
960  2017-08-22  471225  Total</t>
  </si>
  <si>
    <t>GSTIN    -    06AXXXXXXXXC1ZH
Invoice Number Invoice Date IGST Paid(INR)
XXXXXXXX-18  2017-06-30  24756  Total</t>
  </si>
  <si>
    <t>GSTIN    -    06AXXXXXXXXC1ZH
Invoice Number Invoice Date IGST Paid(INR)
XXXXXXXX-18  2017-06-30  7128  Total</t>
  </si>
  <si>
    <t>06LCH002  77476</t>
  </si>
  <si>
    <t>GSTIN    -    06AXXXXXXXXC2Z2
Invoice Number Invoice Date IGST Paid(INR)
XXXXX025  2017-11-16  34481700  Total</t>
  </si>
  <si>
    <t>06LCH002  82083</t>
  </si>
  <si>
    <t>GSTIN    -    06AXXXXXXXXC2Z2
Invoice Number Invoice Date IGST Paid(INR)
XXXXX028  2017-12-14  50771448  Total</t>
  </si>
  <si>
    <t>06074285  AAEPI</t>
  </si>
  <si>
    <t>GSTIN    -    06AXXXXXXXXD1Z0
Invoice Number Invoice Date IGST Paid(INR)
XXXXXXXXXXX-18  2017-11-02  22038  Total</t>
  </si>
  <si>
    <t>GSTIN    -    06AXXXXXXXXD1Z2
Invoice Number Invoice Date IGST Paid(INR)
XXXXXXXXXX263  2017-09-28  59984  Total</t>
  </si>
  <si>
    <t>GSTIN    -    06AXXXXXXXXD1Z2
Invoice Number Invoice Date IGST Paid(INR)
XXXXXXXXXX933  2017-12-07  160999  Total</t>
  </si>
  <si>
    <t>GSTIN    -    06AXXXXXXXXD1Z8
Invoice Number Invoice Date IGST Paid(INR)
XXXXXXXXXXXXXX030  2017-09-11  341891  Total</t>
  </si>
  <si>
    <t>GSTIN    -    06AXXXXXXXXD1Z8
Invoice Number Invoice Date IGST Paid(INR)
XXXXXXXXXXXXXX038  2017-11-22  803179  Total</t>
  </si>
  <si>
    <t>GSTIN    -    06AXXXXXXXXD1ZC
Invoice Number Invoice Date IGST Paid(INR)
XXXXXXXXXX016  2017-10-16  36630  Total</t>
  </si>
  <si>
    <t>GSTIN    -    06AXXXXXXXXD1ZM
Invoice Number Invoice Date IGST Paid(INR)
XXX-02  2017-08-22  54305  Total</t>
  </si>
  <si>
    <t>06LCH002  71033</t>
  </si>
  <si>
    <t>GSTIN    -    06AXXXXXXXXD1ZM
Invoice Number Invoice Date IGST Paid(INR)
XXXXXX/11  2017-10-27  61871  Total</t>
  </si>
  <si>
    <t>GSTIN    -    06AXXXXXXXXD1ZQ
Invoice Number Invoice Date IGST Paid(INR)
XXXXXXXXX056  2017-12-04  185491  Total</t>
  </si>
  <si>
    <t>GSTIN    -    06AXXXXXXXXE1ZC
Invoice Number Invoice Date IGST Paid(INR)
XXXXXXXXXXXXXO/1  2017-11-15  41472  Total</t>
  </si>
  <si>
    <t>GSTIN    -    06AXXXXXXXXE1ZT
Invoice Number Invoice Date IGST Paid(INR)
XXXXX-18  2017-12-11  298404  Total</t>
  </si>
  <si>
    <t>GSTIN    -    06AXXXXXXXXE1ZX
Invoice Number Invoice Date IGST Paid(INR)
XXXXXXXXX032  2017-10-11  195960  Total</t>
  </si>
  <si>
    <t>GSTIN    -    06AXXXXXXXXE1ZX
Invoice Number Invoice Date IGST Paid(INR)
XXXXXXXXXXXXXX/10  2017-10-23  878404  Total</t>
  </si>
  <si>
    <t>GSTIN    -    06AXXXXXXXXE1ZX
Invoice Number Invoice Date IGST Paid(INR)
XXXXXXXXXXXXXX-18  2017-08-25  226605  Total</t>
  </si>
  <si>
    <t>GSTIN    -    06AXXXXXXXXE4ZU
Invoice Number Invoice Date IGST Paid(INR)
XXXXXXXXXXXXXX017  2017-08-29  659169  Total</t>
  </si>
  <si>
    <t>GSTIN    -    06AXXXXXXXXE4ZU
Invoice Number Invoice Date IGST Paid(INR)
XXXXXXXXXXXXXX17-  2017-09-28  54045  Total</t>
  </si>
  <si>
    <t xml:space="preserve">064  0  51064  </t>
  </si>
  <si>
    <t>GSTIN    -    06AXXXXXXXXE4ZU
Invoice Number Invoice Date IGST Paid(INR)
XXXXXXXXXXXXXX-18  2017-08-01  3268108  Total</t>
  </si>
  <si>
    <t>GSTIN    -    06AXXXXXXXXE4ZU
Invoice Number Invoice Date IGST Paid(INR)
XXXXXXXXXXXXXX-18  2017-08-01  74016  Total</t>
  </si>
  <si>
    <t>GSTIN    -    06AXXXXXXXXE4ZU
Invoice Number Invoice Date IGST Paid(INR)
XXXXXXXXXXXXXX-18  2017-08-26  543895  Total</t>
  </si>
  <si>
    <t>GSTIN    -    06AXXXXXXXXE4ZU
Invoice Number Invoice Date IGST Paid(INR)
XXXXXXXXXXXXXX-18  2017-11-20  77361  Total</t>
  </si>
  <si>
    <t>GSTIN    -    06AXXXXXXXXE4ZU
Invoice Number Invoice Date IGST Paid(INR)
XXXXXXXXXXXXXX718  2017-08-16  53456  Total</t>
  </si>
  <si>
    <t>GSTIN    -    06AXXXXXXXXF1Z5
Invoice Number Invoice Date IGST Paid(INR)
XXXXXXXXXXXXX040  2017-08-09  30806  Total</t>
  </si>
  <si>
    <t>GSTIN    -    06AXXXXXXXXF1ZQ
Invoice Number Invoice Date IGST Paid(INR)
XXXXXXXXX151  2017-11-09  296338  Total</t>
  </si>
  <si>
    <t>GSTIN    -    06AXXXXXXXXF1ZQ
Invoice Number Invoice Date IGST Paid(INR)
XXXXXXXXX152  2017-11-09  8504  Total</t>
  </si>
  <si>
    <t>GSTIN    -    06AXXXXXXXXG1ZC
Invoice Number Invoice Date IGST Paid(INR)
XXXXXXXXX/09  2017-11-22  13655  Total</t>
  </si>
  <si>
    <t xml:space="preserve">065307  14 SEP </t>
  </si>
  <si>
    <t>GSTIN    -    06AXXXXXXXXG1ZF
Invoice Number Invoice Date IGST Paid(INR)
XXXX508  2017-09-11  24898  Total</t>
  </si>
  <si>
    <t>GSTIN    -    06AXXXXXXXXG1ZP
Invoice Number Invoice Date IGST Paid(INR)
XXXXXXXXXXXXX164  2017-12-20  1522  Total</t>
  </si>
  <si>
    <t>06  AQBPK4529MC</t>
  </si>
  <si>
    <t>GSTIN    -    06AXXXXXXXXG1ZR
Invoice Number Invoice Date IGST Paid(INR)
XXXXXXX/07  2017-09-25  162289  Total</t>
  </si>
  <si>
    <t>GSTIN    -    06AXXXXXXXXG1ZR
Invoice Number Invoice Date IGST Paid(INR)
XXXXXXX/08  2017-09-25  69552  Total</t>
  </si>
  <si>
    <t>06001678  AMEPS</t>
  </si>
  <si>
    <t>GSTIN    -    06AXXXXXXXXG1ZX
Invoice Number Invoice Date IGST Paid(INR)
XXXXXXXXXXXXXX001  2017-07-28  14574  Total</t>
  </si>
  <si>
    <t>GSTIN    -    06AXXXXXXXXH1ZO
Invoice Number Invoice Date IGST Paid(INR)
XXXXXXXXXXXX-18  2017-07-17  149412  Total</t>
  </si>
  <si>
    <t>GSTIN    -    06AXXXXXXXXH1ZO
Invoice Number Invoice Date IGST Paid(INR)
XXXXXXXXXXXX-18  2017-07-25  1437149  Total</t>
  </si>
  <si>
    <t>GSTIN    -    06AXXXXXXXXH1ZO
Invoice Number Invoice Date IGST Paid(INR)
XXXXXXXXXXXX-18  2017-07-25  690600  Total</t>
  </si>
  <si>
    <t>GSTIN    -    06AXXXXXXXXH1ZO
Invoice Number Invoice Date IGST Paid(INR)
XXXXXXXXXXXX-18  2017-07-25  79964  Total</t>
  </si>
  <si>
    <t>GSTIN    -    06AXXXXXXXXH1ZO
Invoice Number Invoice Date IGST Paid(INR)
XXXXXXXXXXXX-18  2017-09-13  114555  Total</t>
  </si>
  <si>
    <t>GSTIN    -    06AXXXXXXXXH1ZU
Invoice Number Invoice Date IGST Paid(INR)
XXXXXXXXXX-18  2017-08-29  129559  Total</t>
  </si>
  <si>
    <t>GSTIN    -    06AXXXXXXXXH2ZJ
Invoice Number Invoice Date IGST Paid(INR)
XXXXXXXXX/18  2017-07-18  26869  Total</t>
  </si>
  <si>
    <t>GSTIN    -    06AXXXXXXXXJ1ZG
Invoice Number Invoice Date IGST Paid(INR)
XXXX009  2017-08-28  115686  Total</t>
  </si>
  <si>
    <t>GSTIN    -    06AXXXXXXXXJ1ZG
Invoice Number Invoice Date IGST Paid(INR)
XXXXXXXXXX177  2017-08-22  190911  Total</t>
  </si>
  <si>
    <t>GSTIN    -    06AXXXXXXXXJ1ZG
Invoice Number Invoice Date IGST Paid(INR)
XXXXXXXXXXX142  2017-07-24  48384  Total</t>
  </si>
  <si>
    <t>GSTIN    -    06AXXXXXXXXJ1ZI
Invoice Number Invoice Date IGST Paid(INR)
XXXXXXXXXXXX018  2017-08-08  88693  Total</t>
  </si>
  <si>
    <t>06329  AEAPD915</t>
  </si>
  <si>
    <t>GSTIN    -    06AXXXXXXXXJ1ZI
Invoice Number Invoice Date IGST Paid(INR)
XXXXXXXXXXXXX762  2017-12-16  11970  Total</t>
  </si>
  <si>
    <t>GSTIN    -    06AXXXXXXXXJ1ZK
Invoice Number Invoice Date IGST Paid(INR)
16  2017-12-20  25223  Total</t>
  </si>
  <si>
    <t>GSTIN    -    06AXXXXXXXXJ2ZR
Invoice Number Invoice Date IGST Paid(INR)
XXXXX-18  2017-08-21  45511  Total</t>
  </si>
  <si>
    <t>GSTIN    -    06AXXXXXXXXJ2ZR
Invoice Number Invoice Date IGST Paid(INR)
XXXXX-18  2017-09-20  45511  Total</t>
  </si>
  <si>
    <t>GSTIN    -    06AXXXXXXXXK1Z7
Invoice Number Invoice Date IGST Paid(INR)
006  2017-07-27  647383  Total</t>
  </si>
  <si>
    <t>GSTIN    -    06AXXXXXXXXK1ZF
Invoice Number Invoice Date IGST Paid(INR)
XXXXXXXXXX-18  2017-10-06  367088  Total</t>
  </si>
  <si>
    <t xml:space="preserve">06  1039584  0 </t>
  </si>
  <si>
    <t>GSTIN    -    06AXXXXXXXXK1ZF
Invoice Number Invoice Date IGST Paid(INR)
XXXXXXXXXXX340  2017-12-07  189189  Total</t>
  </si>
  <si>
    <t>GSTIN    -    06AXXXXXXXXK1ZR
Invoice Number Invoice Date IGST Paid(INR)
XXXXXXXXXX718  2017-10-24  45882  Total</t>
  </si>
  <si>
    <t>GSTIN    -    06AXXXXXXXXK1ZR
Invoice Number Invoice Date IGST Paid(INR)
XXXXXXXXXX718  2017-11-02  17288  Total</t>
  </si>
  <si>
    <t>GSTIN    -    06AXXXXXXXXK1ZR
Invoice Number Invoice Date IGST Paid(INR)
XXXXXXXXXXXXXX-18  2017-09-15  59806  Total</t>
  </si>
  <si>
    <t>GSTIN    -    06AXXXXXXXXK1ZR
Invoice Number Invoice Date IGST Paid(INR)
XXXXXXXXXXXXXX-18  2017-09-21  56752  Total</t>
  </si>
  <si>
    <t>GSTIN    -    06AXXXXXXXXK1ZT
Invoice Number Invoice Date IGST Paid(INR)
XXXXXXX-18  2017-09-11  57646  Total</t>
  </si>
  <si>
    <t>GSTIN    -    06AXXXXXXXXK1ZT
Invoice Number Invoice Date IGST Paid(INR)
XXXXXXXXXXXX002  2017-07-24  129600  Total</t>
  </si>
  <si>
    <t>GSTIN    -    06AXXXXXXXXK1ZT
Invoice Number Invoice Date IGST Paid(INR)
XXXXXXXXXXXXXX502  2017-08-11  127960  Total</t>
  </si>
  <si>
    <t>061  AAECB3928M</t>
  </si>
  <si>
    <t>GSTIN    -    06AXXXXXXXXK1ZV
Invoice Number Invoice Date IGST Paid(INR)
XXXXXXXXXX070  2017-08-23  40091 
XXXXXXXXXX071  2017-08-23  54341  Total</t>
  </si>
  <si>
    <t>061  AADCR9553K</t>
  </si>
  <si>
    <t>GSTIN    -    06AXXXXXXXXK1ZV
Invoice Number Invoice Date IGST Paid(INR)
XXXXXXXXXX215  2017-11-24  1787288  Total</t>
  </si>
  <si>
    <t>GSTIN    -    06AXXXXXXXXK1ZV
Invoice Number Invoice Date IGST Paid(INR)
XXXXXXXXXX216  2017-11-24  446822  Total</t>
  </si>
  <si>
    <t>06070484  AATPS</t>
  </si>
  <si>
    <t>GSTIN    -    06AXXXXXXXXL1ZE
Invoice Number Invoice Date IGST Paid(INR)
XXXXX/16  2017-07-27  145084  Total</t>
  </si>
  <si>
    <t>062359  AEEPG24</t>
  </si>
  <si>
    <t>GSTIN    -    06AXXXXXXXXM1Z2
Invoice Number Invoice Date IGST Paid(INR)
XXXXXXXXX8RG  2017-11-18  2327  Total</t>
  </si>
  <si>
    <t>GSTIN    -    06AXXXXXXXXM1Z2
Invoice Number Invoice Date IGST Paid(INR)
XXXXXXXXX8RG  2017-11-27  6216  Total</t>
  </si>
  <si>
    <t>GSTIN    -    06AXXXXXXXXM1Z2
Invoice Number Invoice Date IGST Paid(INR)
XXXXXXXXX8RG  2017-11-28  9066  Total</t>
  </si>
  <si>
    <t>GSTIN    -    06AXXXXXXXXM1Z2
Invoice Number Invoice Date IGST Paid(INR)
XXXXXXXXX8RG  2017-11-29  4888  Total</t>
  </si>
  <si>
    <t xml:space="preserve">06.84  0  2416 </t>
  </si>
  <si>
    <t>GSTIN    -    06AXXXXXXXXM1ZQ
Invoice Number Invoice Date IGST Paid(INR)
XXXXXX-18  2017-10-04  21744  Total</t>
  </si>
  <si>
    <t>GSTIN    -    06AXXXXXXXXM1ZZ
Invoice Number Invoice Date IGST Paid(INR)
043  2017-08-10  14655  Total</t>
  </si>
  <si>
    <t>063.28  0  1876</t>
  </si>
  <si>
    <t>GSTIN    -    06AXXXXXXXXM1ZZ
Invoice Number Invoice Date IGST Paid(INR)
045  2017-08-17  168843  Total</t>
  </si>
  <si>
    <t>06  0  8006  N.</t>
  </si>
  <si>
    <t>GSTIN    -    06AXXXXXXXXM1ZZ
Invoice Number Invoice Date IGST Paid(INR)
053  2017-09-13  72054  Total</t>
  </si>
  <si>
    <t>GSTIN    -    06AXXXXXXXXM1ZZ
Invoice Number Invoice Date IGST Paid(INR)
070  2017-12-07  69371  Total</t>
  </si>
  <si>
    <t>GSTIN    -    06AXXXXXXXXN1Z9
Invoice Number Invoice Date IGST Paid(INR)
XXXXXXXX-18  2017-08-21  43227  Total</t>
  </si>
  <si>
    <t>GSTIN    -    06AXXXXXXXXN1Z9
Invoice Number Invoice Date IGST Paid(INR)
XXXXXXXX-18  2017-10-11  57636  Total</t>
  </si>
  <si>
    <t>GSTIN    -    06AXXXXXXXXN1ZC
Invoice Number Invoice Date IGST Paid(INR)
XXXXXXXX005  2017-09-06  20576  Total</t>
  </si>
  <si>
    <t>06519  AAEFP274</t>
  </si>
  <si>
    <t>GSTIN    -    06AXXXXXXXXN1ZD
Invoice Number Invoice Date IGST Paid(INR)
XXX112  2017-12-11  6208  Total</t>
  </si>
  <si>
    <t>06 NOV 2017 12:</t>
  </si>
  <si>
    <t>GSTIN    -    06AXXXXXXXXN1ZN
Invoice Number Invoice Date IGST Paid(INR)
008  2017-10-28  251421  Total</t>
  </si>
  <si>
    <t>GSTIN    -    06AXXXXXXXXN1ZN
Invoice Number Invoice Date IGST Paid(INR)
010  2017-11-28  39231  Total</t>
  </si>
  <si>
    <t>GSTIN    -    06AXXXXXXXXN1ZW
Invoice Number Invoice Date IGST Paid(INR)
XXXXXXXXXXX057  2017-11-07  30668  Total</t>
  </si>
  <si>
    <t>GSTIN    -    06AXXXXXXXXP1ZP
Invoice Number Invoice Date IGST Paid(INR)
XXXXXXXXXXXXXX133  2017-11-24  363971  Total</t>
  </si>
  <si>
    <t>GSTIN    -    06AXXXXXXXXP1ZP
Invoice Number Invoice Date IGST Paid(INR)
XXXXXXXXXXXXXX134  2017-11-15  243493  Total</t>
  </si>
  <si>
    <t>0604  27 SEP 20</t>
  </si>
  <si>
    <t>GSTIN    -    06AXXXXXXXXQ1Z8
Invoice Number Invoice Date IGST Paid(INR)
XXXXXXXXXXX-18  2017-09-26  183793  Total</t>
  </si>
  <si>
    <t>06046231  ADFFS</t>
  </si>
  <si>
    <t>GSTIN    -    06AXXXXXXXXQ1ZC
Invoice Number Invoice Date IGST Paid(INR)
XXXXXXXXXXX/09  2017-07-29  249841  Total</t>
  </si>
  <si>
    <t>GSTIN    -    06AXXXXXXXXQ1ZK
Invoice Number Invoice Date IGST Paid(INR)
XXXX868  2017-08-21  33918  Total</t>
  </si>
  <si>
    <t>063227  AACCP02</t>
  </si>
  <si>
    <t>GSTIN    -    06AXXXXXXXXQ1ZP
Invoice Number Invoice Date IGST Paid(INR)
XXXXXXXX/18  2017-09-28  65266  Total</t>
  </si>
  <si>
    <t>GSTIN    -    06AXXXXXXXXQ1ZQ
Invoice Number Invoice Date IGST Paid(INR)
XXXXXXXXXXXX003  2017-08-18  285450  Total</t>
  </si>
  <si>
    <t>GSTIN    -    06AXXXXXXXXQ1ZQ
Invoice Number Invoice Date IGST Paid(INR)
XXXXXXXXXXXX004  2017-08-18  139269  Total</t>
  </si>
  <si>
    <t>GSTIN    -    06AXXXXXXXXR1Z3
Invoice Number Invoice Date IGST Paid(INR)
XXXXXXXXXXXXXXOL-  2017-12-29  15380  Total</t>
  </si>
  <si>
    <t>GSTIN    -    06AXXXXXXXXR1ZB
Invoice Number Invoice Date IGST Paid(INR)
05  2017-08-05  265896  Total</t>
  </si>
  <si>
    <t>GSTIN    -    06AXXXXXXXXR1ZC
Invoice Number Invoice Date IGST Paid(INR)
XXX/01  2017-07-28  187353  Total</t>
  </si>
  <si>
    <t>GSTIN    -    06AXXXXXXXXR1ZC
Invoice Number Invoice Date IGST Paid(INR)
XXX/02  2017-10-20  175500  Total</t>
  </si>
  <si>
    <t>067872  AAJCA18</t>
  </si>
  <si>
    <t>GSTIN    -    06AXXXXXXXXR1ZU
Invoice Number Invoice Date IGST Paid(INR)
XXXXXXXXXXXXXX-18  2017-09-06  126045  Total</t>
  </si>
  <si>
    <t>GSTIN    -    06AXXXXXXXXR2ZO
Invoice Number Invoice Date IGST Paid(INR)
XXXXXXXXXXXXX/17  2017-08-01  53596  Total</t>
  </si>
  <si>
    <t>GSTIN    -    06AXXXXXXXXR2ZO
Invoice Number Invoice Date IGST Paid(INR)
XXXXXXXXXXXXX/17  2017-08-10  53047  Total</t>
  </si>
  <si>
    <t>GSTIN    -    06AXXXXXXXXR2ZO
Invoice Number Invoice Date IGST Paid(INR)
XXXXXXXXXXXXX/17  2017-08-11  53047  Total</t>
  </si>
  <si>
    <t>06  0  806  N.A</t>
  </si>
  <si>
    <t>GSTIN    -    06AXXXXXXXXR2ZO
Invoice Number Invoice Date IGST Paid(INR)
XXXXXXXXXXXXX792  2017-11-28  69994  Total</t>
  </si>
  <si>
    <t>GSTIN    -    06AXXXXXXXXR2ZO
Invoice Number Invoice Date IGST Paid(INR)
XXXXXXXXXXXXXXP80  2017-09-11  106770  Total</t>
  </si>
  <si>
    <t>06JCH001  61614</t>
  </si>
  <si>
    <t>GSTIN    -    06BXXXXXXXXM1ZI
Invoice Number Invoice Date IGST Paid(INR)
32  2017-09-19  21793  Total</t>
  </si>
  <si>
    <t>GSTIN    -    07AXXXXXXXXA1Z1
Invoice Number Invoice Date IGST Paid(INR)
XXXXXXXXXXXXXX-18  2017-08-10  70173  Total</t>
  </si>
  <si>
    <t xml:space="preserve">06995  0  0  0 </t>
  </si>
  <si>
    <t>GSTIN    -    07AXXXXXXXXA1Z1
Invoice Number Invoice Date IGST Paid(INR)
XXXXXXXXXXXXXX-18  2017-11-16  46512  Total</t>
  </si>
  <si>
    <t xml:space="preserve">06  6859452.6  </t>
  </si>
  <si>
    <t>GSTIN    -    07AXXXXXXXXA1Z5
Invoice Number Invoice Date IGST Paid(INR)
XXXXXXXXXXXXX018  2017-08-22  342972  Total</t>
  </si>
  <si>
    <t>GSTIN    -    07AXXXXXXXXA1Z5
Invoice Number Invoice Date IGST Paid(INR)
XXXXXXXXXXXXX018  2017-08-23  312107  Total</t>
  </si>
  <si>
    <t>GSTIN    -    07AXXXXXXXXA1Z5
Invoice Number Invoice Date IGST Paid(INR)
XXXXXXXXXXXXX018  2017-08-23  334701  Total</t>
  </si>
  <si>
    <t>GSTIN    -    07AXXXXXXXXA1Z5
Invoice Number Invoice Date IGST Paid(INR)
XXXXXXXXXXXXX018  2017-09-04  345370  Total</t>
  </si>
  <si>
    <t>069272  BTLPP62</t>
  </si>
  <si>
    <t>GSTIN    -    07AXXXXXXXXA1Z9
Invoice Number Invoice Date IGST Paid(INR)
XXXXXXXXXXXXX-18  2017-08-28  287808  Total</t>
  </si>
  <si>
    <t>GSTIN    -    07AXXXXXXXXA1ZA
Invoice Number Invoice Date IGST Paid(INR)
XXXXXXXXXX-18  2017-07-25  5502  Total</t>
  </si>
  <si>
    <t>GSTIN    -    07AXXXXXXXXA1ZH
Invoice Number Invoice Date IGST Paid(INR)
XXXXXXXXXXXXXX365  2017-11-02  65520  Total</t>
  </si>
  <si>
    <t>GSTIN    -    07AXXXXXXXXA1ZL
Invoice Number Invoice Date IGST Paid(INR)
53  2017-07-31  141585  Total</t>
  </si>
  <si>
    <t>GSTIN    -    07AXXXXXXXXA1ZN
Invoice Number Invoice Date IGST Paid(INR)
XXXXXX-18  2017-08-01  38967  Total</t>
  </si>
  <si>
    <t>GSTIN    -    07AXXXXXXXXA1ZT
Invoice Number Invoice Date IGST Paid(INR)
XXXXXXXXXXXXXEXP  2017-10-05  214834  Total</t>
  </si>
  <si>
    <t>GSTIN    -    07AXXXXXXXXA1ZV
Invoice Number Invoice Date IGST Paid(INR)
XXXX082  2017-07-31  14173  Total</t>
  </si>
  <si>
    <t>GSTIN    -    07AXXXXXXXXB1ZE
Invoice Number Invoice Date IGST Paid(INR)
XXXMA8  2017-12-12  17084  Total</t>
  </si>
  <si>
    <t xml:space="preserve">060  277911  0 </t>
  </si>
  <si>
    <t>GSTIN    -    07AXXXXXXXXB1ZM
Invoice Number Invoice Date IGST Paid(INR)
XXXXXXXXXX/05  2017-09-05  50021  Total</t>
  </si>
  <si>
    <t>GSTIN    -    07AXXXXXXXXB1ZM
Invoice Number Invoice Date IGST Paid(INR)
XXXXXXXXXX/06  2017-09-11  24505  Total</t>
  </si>
  <si>
    <t>06 OCT 2017 12:</t>
  </si>
  <si>
    <t>GSTIN    -    07AXXXXXXXXB1ZM
Invoice Number Invoice Date IGST Paid(INR)
XXXXXXXXXX/07  2017-10-06  49303  Total</t>
  </si>
  <si>
    <t>0629  24 AUG 20</t>
  </si>
  <si>
    <t>GSTIN    -    07AXXXXXXXXB1ZP
Invoice Number Invoice Date IGST Paid(INR)
XXXXXX/17  2017-01-08  251223  Total</t>
  </si>
  <si>
    <t>GSTIN    -    07AXXXXXXXXB1ZR
Invoice Number Invoice Date IGST Paid(INR)
XXXXXXXX-18  2017-09-22  562831  Total</t>
  </si>
  <si>
    <t>GSTIN    -    07AXXXXXXXXB1ZR
Invoice Number Invoice Date IGST Paid(INR)
XXXXXXXXX/18  2017-08-30  925056  Total</t>
  </si>
  <si>
    <t>GSTIN    -    07AXXXXXXXXB1ZR
Invoice Number Invoice Date IGST Paid(INR)
XXXXXXXXX-18  2017-08-12  371424  Total</t>
  </si>
  <si>
    <t>GSTIN    -    07AXXXXXXXXB1ZR
Invoice Number Invoice Date IGST Paid(INR)
XXXXXXXXX-18  2017-08-19  152387  Total</t>
  </si>
  <si>
    <t>06  12 SEP 2017</t>
  </si>
  <si>
    <t>GSTIN    -    07AXXXXXXXXB1ZR
Invoice Number Invoice Date IGST Paid(INR)
XXXXXXXXX-18  2017-09-12  946804  Total</t>
  </si>
  <si>
    <t>GSTIN    -    07AXXXXXXXXB1ZR
Invoice Number Invoice Date IGST Paid(INR)
XXXXXXXXX-18  2017-09-20  229557  Total</t>
  </si>
  <si>
    <t>0619  3765676.4</t>
  </si>
  <si>
    <t>GSTIN    -    07AXXXXXXXXB1ZR
Invoice Number Invoice Date IGST Paid(INR)
XXXXXXXXX-18  2017-09-27  451879  Total</t>
  </si>
  <si>
    <t xml:space="preserve">0632  0  80632 </t>
  </si>
  <si>
    <t>GSTIN    -    07AXXXXXXXXB1ZR
Invoice Number Invoice Date IGST Paid(INR)
XXXXXXXXX-18  2017-09-27  645045  Total</t>
  </si>
  <si>
    <t>GSTIN    -    07AXXXXXXXXB1ZR
Invoice Number Invoice Date IGST Paid(INR)
XXXXXXXXX-18  2017-12-21  7550  Total</t>
  </si>
  <si>
    <t>GSTIN    -    07AXXXXXXXXB1ZR
Invoice Number Invoice Date IGST Paid(INR)
XXXXXXXXX-18  2017-12-22  14360  Total</t>
  </si>
  <si>
    <t>GSTIN    -    07AXXXXXXXXB1ZR
Invoice Number Invoice Date IGST Paid(INR)
XXXXXXXXX-18  2017-12-27  11114  Total</t>
  </si>
  <si>
    <t>GSTIN    -    07AXXXXXXXXB1ZR
Invoice Number Invoice Date IGST Paid(INR)
XXXXXXXXX-18  2017-12-27  4250  Total</t>
  </si>
  <si>
    <t>GSTIN    -    07AXXXXXXXXB1ZR
Invoice Number Invoice Date IGST Paid(INR)
XXXXXXXXX-18  2017-12-27  4829  Total</t>
  </si>
  <si>
    <t>GSTIN    -    07AXXXXXXXXB1ZR
Invoice Number Invoice Date IGST Paid(INR)
XXXXXXXXX-18  2017-12-30  5530  Total</t>
  </si>
  <si>
    <t>GSTIN    -    07AXXXXXXXXB1ZS
Invoice Number Invoice Date IGST Paid(INR)
XXXXXXX017  2017-08-10  81770  Total</t>
  </si>
  <si>
    <t>06  04 SEP 2017</t>
  </si>
  <si>
    <t>GSTIN    -    07AXXXXXXXXB1ZS
Invoice Number Invoice Date IGST Paid(INR)
XXXXXXX017  2017-08-31  96678  Total</t>
  </si>
  <si>
    <t xml:space="preserve">064  0  18064  </t>
  </si>
  <si>
    <t>GSTIN    -    07AXXXXXXXXB1ZS
Invoice Number Invoice Date IGST Paid(INR)
XXXXXXX017  2017-10-09  87378  Total</t>
  </si>
  <si>
    <t>GSTIN    -    07AXXXXXXXXB1ZS
Invoice Number Invoice Date IGST Paid(INR)
XXXXXXX017  2017-10-22  99523  Total</t>
  </si>
  <si>
    <t>GSTIN    -    07AXXXXXXXXB1ZS
Invoice Number Invoice Date IGST Paid(INR)
XXXXXXX017  2017-11-20  65433  Total</t>
  </si>
  <si>
    <t>GSTIN    -    07AXXXXXXXXB1ZS
Invoice Number Invoice Date IGST Paid(INR)
XXXXXXX017  2017-12-08  89111  Total</t>
  </si>
  <si>
    <t>068  18 DEC 201</t>
  </si>
  <si>
    <t>GSTIN    -    07AXXXXXXXXB1ZS
Invoice Number Invoice Date IGST Paid(INR)
XXXXXXX017  2017-12-15  65112  Total</t>
  </si>
  <si>
    <t>GSTIN    -    07AXXXXXXXXC1Z5
Invoice Number Invoice Date IGST Paid(INR)
XXXXXXX/17  2017-12-05  33903  Total</t>
  </si>
  <si>
    <t>06  24 AUG 2017</t>
  </si>
  <si>
    <t>GSTIN    -    07AXXXXXXXXC1Z8
Invoice Number Invoice Date IGST Paid(INR)
XXI65  2017-08-03  3897  Total</t>
  </si>
  <si>
    <t>GSTIN    -    07AXXXXXXXXC1Z8
Invoice Number Invoice Date IGST Paid(INR)
XXX-75  2017-08-08  784898  Total</t>
  </si>
  <si>
    <t>GSTIN    -    07AXXXXXXXXC1ZB
Invoice Number Invoice Date IGST Paid(INR)
XXXXXXXXXXXRTS  2017-09-06  28364  Total</t>
  </si>
  <si>
    <t>GSTIN    -    07AXXXXXXXXC1ZF
Invoice Number Invoice Date IGST Paid(INR)
X061  2017-11-22  2065  Total</t>
  </si>
  <si>
    <t>GSTIN    -    07AXXXXXXXXC1ZP
Invoice Number Invoice Date IGST Paid(INR)
XXXXXXXXXXXXXX003  2017-08-24  130572  Total</t>
  </si>
  <si>
    <t>GSTIN    -    07AXXXXXXXXC1ZV
Invoice Number Invoice Date IGST Paid(INR)
XXXXXXXXXXXXX018  2017-09-11  305072  Total</t>
  </si>
  <si>
    <t>GSTIN    -    07AXXXXXXXXC1ZV
Invoice Number Invoice Date IGST Paid(INR)
XXXXXXXXXXXXX018  2017-09-11  315592  Total</t>
  </si>
  <si>
    <t>GSTIN    -    07AXXXXXXXXD1Z2
Invoice Number Invoice Date IGST Paid(INR)
XXX004  2017-10-25  96124  Total</t>
  </si>
  <si>
    <t>06450  11 AUG 2</t>
  </si>
  <si>
    <t>GSTIN    -    07AXXXXXXXXD1ZA
Invoice Number Invoice Date IGST Paid(INR)
XXXX008  2017-08-08  53730  Total</t>
  </si>
  <si>
    <t>069948  AAAFJ17</t>
  </si>
  <si>
    <t>GSTIN    -    07AXXXXXXXXD1ZG
Invoice Number Invoice Date IGST Paid(INR)
XXXXXXXXXX/18  2017-08-25  23374  Total</t>
  </si>
  <si>
    <t>GSTIN    -    07AXXXXXXXXD1ZS
Invoice Number Invoice Date IGST Paid(INR)
XXXXXXXXXXXXX018  2017-09-04  342492  Total</t>
  </si>
  <si>
    <t>GSTIN    -    07AXXXXXXXXE1Z3
Invoice Number Invoice Date IGST Paid(INR)
XXXXXXXX-18  2017-11-14  187200  Total</t>
  </si>
  <si>
    <t>GSTIN    -    07AXXXXXXXXE1Z5
Invoice Number Invoice Date IGST Paid(INR)
681  2017-07-22  78589  Total</t>
  </si>
  <si>
    <t>GSTIN    -    07AXXXXXXXXE1ZC
Invoice Number Invoice Date IGST Paid(INR)
007  2017-09-15  90209  Total</t>
  </si>
  <si>
    <t>GSTIN    -    07AXXXXXXXXE1ZD
Invoice Number Invoice Date IGST Paid(INR)
XXXXXXXXXXX018  2017-11-04  521924  Total</t>
  </si>
  <si>
    <t>GSTIN    -    07AXXXXXXXXE1ZD
Invoice Number Invoice Date IGST Paid(INR)
XXXXXXXXXXX018  2017-11-27  226947  Total</t>
  </si>
  <si>
    <t>GSTIN    -    07AXXXXXXXXE1ZD
Invoice Number Invoice Date IGST Paid(INR)
XXXXXXXXXXX018  2017-12-05  118001  Total</t>
  </si>
  <si>
    <t>06  AUHPS0698FC</t>
  </si>
  <si>
    <t>GSTIN    -    07AXXXXXXXXE1ZF
Invoice Number Invoice Date IGST Paid(INR)
XXX006  2017-07-29  28099  Total</t>
  </si>
  <si>
    <t>GSTIN    -    07AXXXXXXXXE1ZF
Invoice Number Invoice Date IGST Paid(INR)
XXXXXXXX017  2017-08-08  27598  Total</t>
  </si>
  <si>
    <t>060855  AMJPS30</t>
  </si>
  <si>
    <t>GSTIN    -    07AXXXXXXXXE1ZT
Invoice Number Invoice Date IGST Paid(INR)
XXXXXXXXXX367  2017-10-17  833 
XXXXXXXXXX369  2017-10-17  7096  Total</t>
  </si>
  <si>
    <t>GSTIN    -    07AXXXXXXXXF1Z0
Invoice Number Invoice Date IGST Paid(INR)
XXXXXXXXX-18  2017-08-18  62986  Total</t>
  </si>
  <si>
    <t>GSTIN    -    07AXXXXXXXXF1Z0
Invoice Number Invoice Date IGST Paid(INR)
XXXXXXXXX-18  2017-09-01  103520  Total</t>
  </si>
  <si>
    <t>GSTIN    -    07AXXXXXXXXF1Z3
Invoice Number Invoice Date IGST Paid(INR)
XXXXXXXXX066  2017-10-10  35768  Total</t>
  </si>
  <si>
    <t>GSTIN    -    07AXXXXXXXXF1Z3
Invoice Number Invoice Date IGST Paid(INR)
XXXXXXXXX068  2017-10-30  39496  Total</t>
  </si>
  <si>
    <t>06  08 NOV 2017</t>
  </si>
  <si>
    <t>GSTIN    -    07AXXXXXXXXF1Z3
Invoice Number Invoice Date IGST Paid(INR)
XXXXXXXXX069  2017-10-11  11441  Total</t>
  </si>
  <si>
    <t>06054306  ABBFA</t>
  </si>
  <si>
    <t>GSTIN    -    07AXXXXXXXXF1Z6
Invoice Number Invoice Date IGST Paid(INR)
XXXX613  2017-08-02  105585  Total</t>
  </si>
  <si>
    <t xml:space="preserve">068904  01 AUG </t>
  </si>
  <si>
    <t>GSTIN    -    07AXXXXXXXXF1Z8
Invoice Number Invoice Date IGST Paid(INR)
XXXXXX001  2017-08-01  167681  Total</t>
  </si>
  <si>
    <t>GSTIN    -    07AXXXXXXXXF1ZH
Invoice Number Invoice Date IGST Paid(INR)
XXXXXXXXXXXXXX7-1  2017-11-28  20224  Total</t>
  </si>
  <si>
    <t>GSTIN    -    07AXXXXXXXXF1ZH
Invoice Number Invoice Date IGST Paid(INR)
XXXXXXXXXXXXXX7-1  2017-11-30  10297  Total</t>
  </si>
  <si>
    <t>GSTIN    -    07AXXXXXXXXF1ZR
Invoice Number Invoice Date IGST Paid(INR)
XXXXXXXXXXXX057  2017-09-12  25270  Total</t>
  </si>
  <si>
    <t>GSTIN    -    07AXXXXXXXXF1ZR
Invoice Number Invoice Date IGST Paid(INR)
XXXXXXXXXXXX153  2017-12-08  11466  Total</t>
  </si>
  <si>
    <t>GSTIN    -    07AXXXXXXXXF1ZU
Invoice Number Invoice Date IGST Paid(INR)
XXXXXXX067  2017-12-04  637916  Total</t>
  </si>
  <si>
    <t>GSTIN    -    07AXXXXXXXXF1ZU
Invoice Number Invoice Date IGST Paid(INR)
XXXXXXX068  2017-12-04  147025  Total</t>
  </si>
  <si>
    <t>GSTIN    -    07AXXXXXXXXF1ZU
Invoice Number Invoice Date IGST Paid(INR)
XXXXXXX069  2017-12-11  307129  Total</t>
  </si>
  <si>
    <t>GSTIN    -    07AXXXXXXXXF1ZU
Invoice Number Invoice Date IGST Paid(INR)
XXXXXXX070  2017-12-14  133827  Total</t>
  </si>
  <si>
    <t>GSTIN    -    07AXXXXXXXXF1ZU
Invoice Number Invoice Date IGST Paid(INR)
XXXXXXX072  2017-12-26  727153  Total</t>
  </si>
  <si>
    <t>GSTIN    -    07AXXXXXXXXF2ZV
Invoice Number Invoice Date IGST Paid(INR)
XXXXXXXXXXXXXXT36  2017-11-28  101578  Total</t>
  </si>
  <si>
    <t>GSTIN    -    07AXXXXXXXXF2ZV
Invoice Number Invoice Date IGST Paid(INR)
XXXXXXXXXXXXXXX06  2017-08-10  67373  Total</t>
  </si>
  <si>
    <t>GSTIN    -    07AXXXXXXXXG1Z3
Invoice Number Invoice Date IGST Paid(INR)
XXXXXXXXXXXXX018  2017-08-28  345370  Total</t>
  </si>
  <si>
    <t>062609  ALGPK63</t>
  </si>
  <si>
    <t>GSTIN    -    07AXXXXXXXXG1ZH
Invoice Number Invoice Date IGST Paid(INR)
007  2017-08-01  160973  Total</t>
  </si>
  <si>
    <t>0610  18 AUG 20</t>
  </si>
  <si>
    <t>GSTIN    -    07AXXXXXXXXG1ZH
Invoice Number Invoice Date IGST Paid(INR)
XXXXXXX/17  2017-08-16  67654  Total</t>
  </si>
  <si>
    <t xml:space="preserve">064  789144.6  </t>
  </si>
  <si>
    <t>GSTIN    -    07AXXXXXXXXG1ZP
Invoice Number Invoice Date IGST Paid(INR)
X189  2017-08-07  199238 
X190  2017-08-07  14244  Total</t>
  </si>
  <si>
    <t>062013  FHMPS10</t>
  </si>
  <si>
    <t>GSTIN    -    07AXXXXXXXXH1Z4
Invoice Number Invoice Date IGST Paid(INR)
XXXX002  2017-08-02  28671  Total</t>
  </si>
  <si>
    <t>GSTIN    -    07AXXXXXXXXH1Z8
Invoice Number Invoice Date IGST Paid(INR)
XXXXXXXX017  2017-11-06  92965  Total</t>
  </si>
  <si>
    <t>06736.74  0  12</t>
  </si>
  <si>
    <t>GSTIN    -    07AXXXXXXXXH1ZA
Invoice Number Invoice Date IGST Paid(INR)
XXXXXXXXXXX-18  2017-11-03  46027  Total</t>
  </si>
  <si>
    <t>GSTIN    -    07AXXXXXXXXH1ZD
Invoice Number Invoice Date IGST Paid(INR)
XXXXXXXXXXXXX018  2017-11-27  38804  Total</t>
  </si>
  <si>
    <t>GSTIN    -    07AXXXXXXXXH1ZD
Invoice Number Invoice Date IGST Paid(INR)
XXXXXXXXXXXXX-18  2017-08-09  179147  Total</t>
  </si>
  <si>
    <t xml:space="preserve">064  519395.84 </t>
  </si>
  <si>
    <t>GSTIN    -    07AXXXXXXXXH1ZE
Invoice Number Invoice Date IGST Paid(INR)
XX-01  2017-09-25  81717  Total</t>
  </si>
  <si>
    <t>GSTIN    -    07AXXXXXXXXH1ZR
Invoice Number Invoice Date IGST Paid(INR)
XXXXXXXXXXX002  2017-08-05  604113  Total</t>
  </si>
  <si>
    <t>068212  AHDPK89</t>
  </si>
  <si>
    <t>GSTIN    -    07AXXXXXXXXH1ZW
Invoice Number Invoice Date IGST Paid(INR)
XXXXXXE03  2017-11-28  112320  Total</t>
  </si>
  <si>
    <t>GSTIN    -    07AXXXXXXXXH1ZZ
Invoice Number Invoice Date IGST Paid(INR)
XXXXXXXX154  2017-08-11  12420  Total</t>
  </si>
  <si>
    <t>GSTIN    -    07AXXXXXXXXH1ZZ
Invoice Number Invoice Date IGST Paid(INR)
XXXXXXXX155  2017-11-10  86378  Total</t>
  </si>
  <si>
    <t>GSTIN    -    07AXXXXXXXXJ1Z1
Invoice Number Invoice Date IGST Paid(INR)
XXXXXXXX/17  2017-10-03  9714  Total</t>
  </si>
  <si>
    <t>GSTIN    -    07AXXXXXXXXJ1Z1
Invoice Number Invoice Date IGST Paid(INR)
XXXXXXXX/17  2017-12-01  12744  Total</t>
  </si>
  <si>
    <t>GSTIN    -    07AXXXXXXXXJ1Z1
Invoice Number Invoice Date IGST Paid(INR)
XXXXXXXX/17  2017-12-28  1137  Total</t>
  </si>
  <si>
    <t>06191  AADFT278</t>
  </si>
  <si>
    <t>GSTIN    -    07AXXXXXXXXJ1ZV
Invoice Number Invoice Date IGST Paid(INR)
XXXXXXXXXXXXXX/17  2017-08-12  45043  Total</t>
  </si>
  <si>
    <t>064172  AKMPA90</t>
  </si>
  <si>
    <t>GSTIN    -    07AXXXXXXXXK1Z2
Invoice Number Invoice Date IGST Paid(INR)
XXXXXXXXXX201  2017-11-25  108705  Total</t>
  </si>
  <si>
    <t>GSTIN    -    07AXXXXXXXXK1Z3
Invoice Number Invoice Date IGST Paid(INR)
XXXXXXX010  2017-08-30  122178  Total</t>
  </si>
  <si>
    <t>GSTIN    -    07AXXXXXXXXK1Z5
Invoice Number Invoice Date IGST Paid(INR)
XXXXXXXXXXXXXX-18  2017-12-25  238078  Total</t>
  </si>
  <si>
    <t>064  AFYPK1878F</t>
  </si>
  <si>
    <t>GSTIN    -    07AXXXXXXXXK1ZB
Invoice Number Invoice Date IGST Paid(INR)
XXXXXXXXX-18  2017-08-16  6059  Total</t>
  </si>
  <si>
    <t>GSTIN    -    07AXXXXXXXXK1ZB
Invoice Number Invoice Date IGST Paid(INR)
XXXXXXXXX-18  2017-08-17  23380  Total</t>
  </si>
  <si>
    <t>GSTIN    -    07AXXXXXXXXK1ZB
Invoice Number Invoice Date IGST Paid(INR)
XXXXXXXXXX-18  2017-08-03  28865  Total</t>
  </si>
  <si>
    <t>GSTIN    -    07AXXXXXXXXK1ZE
Invoice Number Invoice Date IGST Paid(INR)
XXXXX8-A  2017-10-10  5771  Total</t>
  </si>
  <si>
    <t>06004830  AAJCA</t>
  </si>
  <si>
    <t>GSTIN    -    07AXXXXXXXXK1ZF
Invoice Number Invoice Date IGST Paid(INR)
10  2017-09-11  120960  Total</t>
  </si>
  <si>
    <t xml:space="preserve">06  0  0  0  0 </t>
  </si>
  <si>
    <t>GSTIN    -    07AXXXXXXXXK1ZN
Invoice Number Invoice Date IGST Paid(INR)
XXXXXXXXXXXXXX017  2017-07-20  245896  Total</t>
  </si>
  <si>
    <t>068241  AADFT27</t>
  </si>
  <si>
    <t>GSTIN    -    07AXXXXXXXXK1ZR
Invoice Number Invoice Date IGST Paid(INR)
065  2017-12-23  287054  Total</t>
  </si>
  <si>
    <t>06102  17 OCT 2</t>
  </si>
  <si>
    <t>GSTIN    -    07AXXXXXXXXK1ZR
Invoice Number Invoice Date IGST Paid(INR)
X212  2017-10-09  36249  Total</t>
  </si>
  <si>
    <t>GSTIN    -    07AXXXXXXXXK1ZW
Invoice Number Invoice Date IGST Paid(INR)
XXXXXXXXXXXX-36  2017-08-21  4344  Total</t>
  </si>
  <si>
    <t>GSTIN    -    07AXXXXXXXXK1ZW
Invoice Number Invoice Date IGST Paid(INR)
XXXXXXXXXXXXX146  2017-10-25  3925  Total</t>
  </si>
  <si>
    <t>GSTIN    -    07AXXXXXXXXK1ZY
Invoice Number Invoice Date IGST Paid(INR)
XXXXXXXX018  2017-08-16  42581  Total</t>
  </si>
  <si>
    <t>GSTIN    -    07AXXXXXXXXL1Z4
Invoice Number Invoice Date IGST Paid(INR)
XXXXXXXXXXXXX425  2017-11-17  98557  Total</t>
  </si>
  <si>
    <t>06059944  AGYPS</t>
  </si>
  <si>
    <t>GSTIN    -    07AXXXXXXXXL1Z8
Invoice Number Invoice Date IGST Paid(INR)
XXXXXXXX001  2017-10-27  10914  Total</t>
  </si>
  <si>
    <t>06035182  AFYPK</t>
  </si>
  <si>
    <t>GSTIN    -    07AXXXXXXXXL1ZB
Invoice Number Invoice Date IGST Paid(INR)
XXXXXXXXXXX017  2017-08-28  213152  Total</t>
  </si>
  <si>
    <t>064663  ADMPC70</t>
  </si>
  <si>
    <t>GSTIN    -    07AXXXXXXXXL1ZD
Invoice Number Invoice Date IGST Paid(INR)
XXXXXXXXX017  2017-06-28  240204  Total</t>
  </si>
  <si>
    <t xml:space="preserve">06  1002715.8  </t>
  </si>
  <si>
    <t>GSTIN    -    07AXXXXXXXXL1ZH
Invoice Number Invoice Date IGST Paid(INR)
006  2017-08-03  71889  Total</t>
  </si>
  <si>
    <t>GSTIN    -    07AXXXXXXXXL1ZH
Invoice Number Invoice Date IGST Paid(INR)
007  2017-10-07  25138  Total</t>
  </si>
  <si>
    <t>GSTIN    -    07AXXXXXXXXL1ZI
Invoice Number Invoice Date IGST Paid(INR)
XXXXXXX017  2017-07-03  66431  Total</t>
  </si>
  <si>
    <t>GSTIN    -    07AXXXXXXXXL1ZI
Invoice Number Invoice Date IGST Paid(INR)
XXXXXXXXXXXX/33  2017-09-06  171626  Total</t>
  </si>
  <si>
    <t>GSTIN    -    07AXXXXXXXXL1ZI
Invoice Number Invoice Date IGST Paid(INR)
XXXXXXXXXXXX/34  2017-09-21  165469  Total</t>
  </si>
  <si>
    <t>GSTIN    -    07AXXXXXXXXL1ZI
Invoice Number Invoice Date IGST Paid(INR)
XXXXXXXXXXXX/35  2017-12-11  166646  Total</t>
  </si>
  <si>
    <t>GSTIN    -    07AXXXXXXXXL1ZM
Invoice Number Invoice Date IGST Paid(INR)
XXXXXX/17  2017-10-04  171989  Total</t>
  </si>
  <si>
    <t>GSTIN    -    07AXXXXXXXXM1Z2
Invoice Number Invoice Date IGST Paid(INR)
35  2017-08-04  44565  Total</t>
  </si>
  <si>
    <t>06074994  AMMPS</t>
  </si>
  <si>
    <t>GSTIN    -    07AXXXXXXXXM1Z2
Invoice Number Invoice Date IGST Paid(INR)
XXXXXXXXXXX-18  2017-07-04  119771  Total</t>
  </si>
  <si>
    <t>062  FHMPS1058E</t>
  </si>
  <si>
    <t>GSTIN    -    07AXXXXXXXXM1ZF
Invoice Number Invoice Date IGST Paid(INR)
XXXXXXX-18  2017-12-07  3906  Total</t>
  </si>
  <si>
    <t>GSTIN    -    07AXXXXXXXXM1ZO
Invoice Number Invoice Date IGST Paid(INR)
XXXXXXXX-18  2017-10-14  89394  Total</t>
  </si>
  <si>
    <t>061315  AABCC81</t>
  </si>
  <si>
    <t>GSTIN    -    07AXXXXXXXXM1ZP
Invoice Number Invoice Date IGST Paid(INR)
XXXX265  2017-08-01  16847  Total</t>
  </si>
  <si>
    <t>060291  AABCS28</t>
  </si>
  <si>
    <t>GSTIN    -    07AXXXXXXXXM1ZZ
Invoice Number Invoice Date IGST Paid(INR)
XXXXXXXXXXXXXX-18  2017-09-04  53296  Total</t>
  </si>
  <si>
    <t>GSTIN    -    07AXXXXXXXXM2ZO
Invoice Number Invoice Date IGST Paid(INR)
002  2017-09-18  35097  Total</t>
  </si>
  <si>
    <t>GSTIN    -    07AXXXXXXXXN1Z4
Invoice Number Invoice Date IGST Paid(INR)
XXXXXXXXXXXXX001  2017-09-12  36391  Total</t>
  </si>
  <si>
    <t>06832  AAACC668</t>
  </si>
  <si>
    <t>GSTIN    -    07AXXXXXXXXN1ZH
Invoice Number Invoice Date IGST Paid(INR)
XXXXXXXXXXX-18  2017-11-15  42400  Total</t>
  </si>
  <si>
    <t>GSTIN    -    07AXXXXXXXXN1ZK
Invoice Number Invoice Date IGST Paid(INR)
XXXXXXXXXXXXXX-18  2017-09-04  145607  Total</t>
  </si>
  <si>
    <t>GSTIN    -    07AXXXXXXXXN2Z8
Invoice Number Invoice Date IGST Paid(INR)
XXXXXX-18  2017-11-04  1073135  Total</t>
  </si>
  <si>
    <t>GSTIN    -    07AXXXXXXXXP1Z3
Invoice Number Invoice Date IGST Paid(INR)
X021  2017-12-14  32148 
X022  2017-12-14  27327 
X023  2017-12-14  29400  Total</t>
  </si>
  <si>
    <t>GSTIN    -    07AXXXXXXXXP1Z3
Invoice Number Invoice Date IGST Paid(INR)
XXXXXXX006  2017-08-08  32141  Total</t>
  </si>
  <si>
    <t>GSTIN    -    07AXXXXXXXXP1Z3
Invoice Number Invoice Date IGST Paid(INR)
XXXXXXX012  2017-10-06  60167  Total</t>
  </si>
  <si>
    <t>GSTIN    -    07AXXXXXXXXP1Z5
Invoice Number Invoice Date IGST Paid(INR)
XXXXXXXXXXX/17  2017-08-10  45056  Total</t>
  </si>
  <si>
    <t>GSTIN    -    07AXXXXXXXXP1ZN
Invoice Number Invoice Date IGST Paid(INR)
XXXXXXXXXXX-18  2017-09-06  196598  Total</t>
  </si>
  <si>
    <t>GSTIN    -    07AXXXXXXXXP1ZU
Invoice Number Invoice Date IGST Paid(INR)
XXXXXXXXXXX-18  2017-08-23  1499760  Total</t>
  </si>
  <si>
    <t>06012905  FHMPS</t>
  </si>
  <si>
    <t>GSTIN    -    07AXXXXXXXXP2Z7
Invoice Number Invoice Date IGST Paid(INR)
XXXXXXX002  2017-10-03  165318  Total</t>
  </si>
  <si>
    <t>GSTIN    -    07AXXXXXXXXP2Z7
Invoice Number Invoice Date IGST Paid(INR)
XXXXXXX003  2017-11-20  222797  Total</t>
  </si>
  <si>
    <t>GSTIN    -    07AXXXXXXXXP3ZI
Invoice Number Invoice Date IGST Paid(INR)
XXXXXXXXXXXXXX-18  2017-07-25  17522  Total</t>
  </si>
  <si>
    <t>GSTIN    -    07AXXXXXXXXP3ZI
Invoice Number Invoice Date IGST Paid(INR)
XXXXXXXXXXXXXX-18  2017-08-10  7809  Total</t>
  </si>
  <si>
    <t>GSTIN    -    07AXXXXXXXXP3ZI
Invoice Number Invoice Date IGST Paid(INR)
XXXXXXXXXXXXXX-18  2017-10-15  14927  Total</t>
  </si>
  <si>
    <t>06292.45  0  41</t>
  </si>
  <si>
    <t>GSTIN    -    07AXXXXXXXXP3ZI
Invoice Number Invoice Date IGST Paid(INR)
XXXXXXXXXXXXXX-18  2017-11-01  10363  Total</t>
  </si>
  <si>
    <t>GSTIN    -    07AXXXXXXXXP3ZI
Invoice Number Invoice Date IGST Paid(INR)
XXXXXXXXXXXXXX-18  2017-11-15  92061  Total</t>
  </si>
  <si>
    <t>GSTIN    -    07AXXXXXXXXP3ZI
Invoice Number Invoice Date IGST Paid(INR)
XXXXXXXXXXXXXX-18  2017-11-19  10889  Total</t>
  </si>
  <si>
    <t>GSTIN    -    07AXXXXXXXXP3ZI
Invoice Number Invoice Date IGST Paid(INR)
XXXXXXXXXXXXXX-18  2017-11-28  10369  Total</t>
  </si>
  <si>
    <t>GSTIN    -    07AXXXXXXXXQ1ZK
Invoice Number Invoice Date IGST Paid(INR)
X/26  2017-07-31  35661  Total</t>
  </si>
  <si>
    <t>067517  AHEPG66</t>
  </si>
  <si>
    <t>GSTIN    -    07AXXXXXXXXQ1ZV
Invoice Number Invoice Date IGST Paid(INR)
XXXXXXXX017  2017-09-18  168374  Total</t>
  </si>
  <si>
    <t>GSTIN    -    07AXXXXXXXXQ1ZX
Invoice Number Invoice Date IGST Paid(INR)
XXXXXXXXXXX-18  2017-09-25  29163  Total</t>
  </si>
  <si>
    <t>GSTIN    -    07AXXXXXXXXQ2ZD
Invoice Number Invoice Date IGST Paid(INR)
01  2017-11-21  5678  Total</t>
  </si>
  <si>
    <t>GSTIN    -    07AXXXXXXXXR1ZF
Invoice Number Invoice Date IGST Paid(INR)
XXXXXXXXXXX010  2017-07-31  35910  Total</t>
  </si>
  <si>
    <t>GSTIN    -    07AXXXXXXXXR1ZG
Invoice Number Invoice Date IGST Paid(INR)
XXXXXXXXXXXXX-18  2017-09-15  243762  Total</t>
  </si>
  <si>
    <t xml:space="preserve">06.4  0  7245  </t>
  </si>
  <si>
    <t>GSTIN    -    07AXXXXXXXXR1ZH
Invoice Number Invoice Date IGST Paid(INR)
XXXXXXXXXX018  2017-07-27  135238  Total</t>
  </si>
  <si>
    <t>GSTIN    -    07AXXXXXXXXR1ZM
Invoice Number Invoice Date IGST Paid(INR)
X105  2017-08-01  8292  Total</t>
  </si>
  <si>
    <t>064011  AVAPS66</t>
  </si>
  <si>
    <t>GSTIN    -    07AXXXXXXXXR1ZX
Invoice Number Invoice Date IGST Paid(INR)
XXXXXXXX-17  2017-09-13  440882  Total</t>
  </si>
  <si>
    <t>GSTIN    -    07BXXXXXXXXB1Z1
Invoice Number Invoice Date IGST Paid(INR)
XXXXXXXXXXXXXX-18  2017-09-01  55614  Total</t>
  </si>
  <si>
    <t>063  15 AUG 201</t>
  </si>
  <si>
    <t>GSTIN    -    07BXXXXXXXXH1ZS
Invoice Number Invoice Date IGST Paid(INR)
XXXXXXXXXXXXXX004  2017-08-10  96798  Total</t>
  </si>
  <si>
    <t>GSTIN    -    07BXXXXXXXXQ1Z9
Invoice Number Invoice Date IGST Paid(INR)
XXXXXXX163  2017-09-20  248932  Total</t>
  </si>
  <si>
    <t>GSTIN    -    07DXXXXXXXXB1Z5
Invoice Number Invoice Date IGST Paid(INR)
XXXXXXXXXXXX-18  2017-09-25  240648  Total</t>
  </si>
  <si>
    <t>GSTIN    -    07DXXXXXXXXB1Z5
Invoice Number Invoice Date IGST Paid(INR)
XXXXXXXXXXXX-18  2017-09-25  245188  Total</t>
  </si>
  <si>
    <t>GSTIN    -    07DXXXXXXXXB1Z5
Invoice Number Invoice Date IGST Paid(INR)
XXXXXXXXXXXX-18  2017-09-25  248657  Total</t>
  </si>
  <si>
    <t>GSTIN    -    07DXXXXXXXXB1ZH
Invoice Number Invoice Date IGST Paid(INR)
XXXXXXXXX/01  2017-07-24  354254  Total</t>
  </si>
  <si>
    <t>065  AADCA0273B</t>
  </si>
  <si>
    <t>GSTIN    -    07DXXXXXXXXL1ZP
Invoice Number Invoice Date IGST Paid(INR)
XXXXXXXXXXXX-18  2017-12-15  79128  Total</t>
  </si>
  <si>
    <t>GSTIN    -    07DXXXXXXXXL1ZP
Invoice Number Invoice Date IGST Paid(INR)
XXXXXXXXXXXXXX-18  2017-11-29  64076  Total</t>
  </si>
  <si>
    <t>GSTIN    -    08AXXXXXXXXA1Z5
Invoice Number Invoice Date IGST Paid(INR)
X090  2017-10-31  2598  Total</t>
  </si>
  <si>
    <t>GSTIN    -    08AXXXXXXXXA1ZT
Invoice Number Invoice Date IGST Paid(INR)
XXX/02  2017-12-26  99422  Total</t>
  </si>
  <si>
    <t>06014115  AAAFA</t>
  </si>
  <si>
    <t>GSTIN    -    08AXXXXXXXXA1ZW
Invoice Number Invoice Date IGST Paid(INR)
XXXXXXXXXXX-18  2017-12-12  3220  Total</t>
  </si>
  <si>
    <t>GSTIN    -    08AXXXXXXXXD1ZM
Invoice Number Invoice Date IGST Paid(INR)
XXXXXXX646  2017-12-21  471806  Total</t>
  </si>
  <si>
    <t>GSTIN    -    08AXXXXXXXXD1ZM
Invoice Number Invoice Date IGST Paid(INR)
XXXXXXX649  2017-12-21  426808 
XXXXXXX650  2017-12-21  44889  Total</t>
  </si>
  <si>
    <t>GSTIN    -    08AXXXXXXXXD1ZM
Invoice Number Invoice Date IGST Paid(INR)
XXXXXXX687  2017-12-28  233780  Total</t>
  </si>
  <si>
    <t>GSTIN    -    08AXXXXXXXXD1ZM
Invoice Number Invoice Date IGST Paid(INR)
XXXXXXX697  2017-12-29  22519  Total</t>
  </si>
  <si>
    <t>0692  AATPS3087</t>
  </si>
  <si>
    <t>GSTIN    -    08AXXXXXXXXF1ZL
Invoice Number Invoice Date IGST Paid(INR)
XXXXXXX-18  2017-08-29  72207  Total</t>
  </si>
  <si>
    <t>GSTIN    -    08AXXXXXXXXM1ZV
Invoice Number Invoice Date IGST Paid(INR)
XXXXXXXXXXXXXX/18  2017-10-03  19275  Total</t>
  </si>
  <si>
    <t>GSTIN    -    08AXXXXXXXXR1Z1
Invoice Number Invoice Date IGST Paid(INR)
XXXXXXXXXXXXXX008  2017-07-31  112585  Total</t>
  </si>
  <si>
    <t>GSTIN    -    08AXXXXXXXXR1Z1
Invoice Number Invoice Date IGST Paid(INR)
XXXXXXXXXXXXXX010  2017-08-25  112496  Total</t>
  </si>
  <si>
    <t>GSTIN    -    08AXXXXXXXXR1ZP
Invoice Number Invoice Date IGST Paid(INR)
XXXXXX-24  2017-09-05  322355  Total</t>
  </si>
  <si>
    <t>GSTIN    -    08AXXXXXXXXR1ZR
Invoice Number Invoice Date IGST Paid(INR)
XXXXXXXXXXXXX113  2017-08-28  390656  Total</t>
  </si>
  <si>
    <t>GSTIN    -    08AXXXXXXXXR1ZR
Invoice Number Invoice Date IGST Paid(INR)
XXXXXXXXXXXXXX078  2017-07-24  1961181  Total</t>
  </si>
  <si>
    <t>GSTIN    -    08AXXXXXXXXR1ZR
Invoice Number Invoice Date IGST Paid(INR)
XXXXXXXXXXXXXX115  2017-08-30  3925803  Total</t>
  </si>
  <si>
    <t>067969  AHVPD51</t>
  </si>
  <si>
    <t>GSTIN    -    09AXXXXXXXXA1Z1
Invoice Number Invoice Date IGST Paid(INR)
XXXXX4/B  2017-10-03  97398  Total</t>
  </si>
  <si>
    <t>067969  ADXPJ16</t>
  </si>
  <si>
    <t>GSTIN    -    09AXXXXXXXXA1Z1
Invoice Number Invoice Date IGST Paid(INR)
XXXXX8/B  2017-11-30  274456  Total</t>
  </si>
  <si>
    <t>06790  12 SEP 2</t>
  </si>
  <si>
    <t>GSTIN    -    09AXXXXXXXXA1Z8
Invoice Number Invoice Date IGST Paid(INR)
02  2017-09-11  20794  Total</t>
  </si>
  <si>
    <t>06 SEP 2017 12:</t>
  </si>
  <si>
    <t>GSTIN    -    09AXXXXXXXXA1ZJ
Invoice Number Invoice Date IGST Paid(INR)
XXXXXXXXXXXXXX8/2  2017-08-10  96485  Total</t>
  </si>
  <si>
    <t>GSTIN    -    09AXXXXXXXXB1ZQ
Invoice Number Invoice Date IGST Paid(INR)
XXXXXXXXXXXXX/16  2017-09-23  131799  Total</t>
  </si>
  <si>
    <t>06062  AHDPK897</t>
  </si>
  <si>
    <t>GSTIN    -    09AXXXXXXXXB1ZS
Invoice Number Invoice Date IGST Paid(INR)
XXXXXXXXXXX-18  2017-08-28  13952  Total</t>
  </si>
  <si>
    <t>GSTIN    -    09AXXXXXXXXC1Z4
Invoice Number Invoice Date IGST Paid(INR)
XXXXXXXXXXXXXX-18  2017-07-13  433793  Total</t>
  </si>
  <si>
    <t>GSTIN    -    09AXXXXXXXXC1Z4
Invoice Number Invoice Date IGST Paid(INR)
XXXXXXXXXXXXXX-18  2017-07-15  310271  Total</t>
  </si>
  <si>
    <t>GSTIN    -    09AXXXXXXXXC1Z4
Invoice Number Invoice Date IGST Paid(INR)
XXXXXXXXXXXXXX-18  2017-07-15  436205  Total</t>
  </si>
  <si>
    <t>GSTIN    -    09AXXXXXXXXC1ZH
Invoice Number Invoice Date IGST Paid(INR)
047  2017-08-21  75492  Total</t>
  </si>
  <si>
    <t>0609003542  AOF</t>
  </si>
  <si>
    <t>GSTIN    -    09AXXXXXXXXC1ZR
Invoice Number Invoice Date IGST Paid(INR)
62  2017-07-31  293987  Total</t>
  </si>
  <si>
    <t>GSTIN    -    09AXXXXXXXXC2Z0
Invoice Number Invoice Date IGST Paid(INR)
XXXXXXXXXXXXXX7-1  2017-07-10  53663  Total</t>
  </si>
  <si>
    <t>GSTIN    -    09AXXXXXXXXD2Z7
Invoice Number Invoice Date IGST Paid(INR)
XXXXXXXX-18  2017-08-08  2073  Total</t>
  </si>
  <si>
    <t>GSTIN    -    09AXXXXXXXXE1ZL
Invoice Number Invoice Date IGST Paid(INR)
XXXXXXXX020  2017-08-08  280688  Total</t>
  </si>
  <si>
    <t>0615002285  AAI</t>
  </si>
  <si>
    <t>GSTIN    -    09AXXXXXXXXF1ZF
Invoice Number Invoice Date IGST Paid(INR)
XXXXXXXXXXX-18  2017-10-24  483215  Total</t>
  </si>
  <si>
    <t xml:space="preserve">06  194300.45  </t>
  </si>
  <si>
    <t>GSTIN    -    09AXXXXXXXXF1ZG
Invoice Number Invoice Date IGST Paid(INR)
XXXXXXXXXXX-12  2017-10-04  34975  Total</t>
  </si>
  <si>
    <t>068645  AABCT36</t>
  </si>
  <si>
    <t>GSTIN    -    09AXXXXXXXXF1ZI
Invoice Number Invoice Date IGST Paid(INR)
XXXXX000  2017-07-28  10105  Total</t>
  </si>
  <si>
    <t>GSTIN    -    09AXXXXXXXXG1Z5
Invoice Number Invoice Date IGST Paid(INR)
XXXXX931  2017-08-26  1880086  Total</t>
  </si>
  <si>
    <t>GSTIN    -    09AXXXXXXXXG1ZF
Invoice Number Invoice Date IGST Paid(INR)
XXXXXXXXXXXXXX004  2017-08-17  31224  Total</t>
  </si>
  <si>
    <t>GSTIN    -    09AXXXXXXXXH1ZE
Invoice Number Invoice Date IGST Paid(INR)
XXXXXXXXXX113  2017-10-10  54671  Total</t>
  </si>
  <si>
    <t>GSTIN    -    09AXXXXXXXXH1ZU
Invoice Number Invoice Date IGST Paid(INR)
XXXXXXXXXXXXX-18  2017-10-06  39351  Total</t>
  </si>
  <si>
    <t>062884  AYZPP59</t>
  </si>
  <si>
    <t>GSTIN    -    09AXXXXXXXXJ1Z6
Invoice Number Invoice Date IGST Paid(INR)
XXXXXXXXXXX018  2017-08-10  243149  Total</t>
  </si>
  <si>
    <t>GSTIN    -    09AXXXXXXXXJ1Z6
Invoice Number Invoice Date IGST Paid(INR)
XXXXXXXXXXX018  2017-08-26  306522  Total</t>
  </si>
  <si>
    <t>GSTIN    -    09AXXXXXXXXJ1Z6
Invoice Number Invoice Date IGST Paid(INR)
XXXXXXXXXXX018  2017-09-04  146655  Total</t>
  </si>
  <si>
    <t>GSTIN    -    09AXXXXXXXXJ1Z6
Invoice Number Invoice Date IGST Paid(INR)
XXXXXXXXXXX018  2017-11-06  251970  Total</t>
  </si>
  <si>
    <t>GSTIN    -    09AXXXXXXXXK2ZT
Invoice Number Invoice Date IGST Paid(INR)
37  2017-07-31  25718  Total</t>
  </si>
  <si>
    <t>GSTIN    -    09AXXXXXXXXM1ZH
Invoice Number Invoice Date IGST Paid(INR)
002  2017-11-20  176472  Total</t>
  </si>
  <si>
    <t>GSTIN    -    09AXXXXXXXXP1ZN
Invoice Number Invoice Date IGST Paid(INR)
XX/04  2017-09-08  41022  Total</t>
  </si>
  <si>
    <t>064754  FHMPS10</t>
  </si>
  <si>
    <t>GSTIN    -    09AXXXXXXXXP2ZF
Invoice Number Invoice Date IGST Paid(INR)
XXXXXXXXX/16  2017-08-17  54751  Total</t>
  </si>
  <si>
    <t>GSTIN    -    09AXXXXXXXXP2ZF
Invoice Number Invoice Date IGST Paid(INR)
XXXXXXXXX/17  2017-08-26  36232  Total</t>
  </si>
  <si>
    <t>GSTIN    -    09AXXXXXXXXP2ZF
Invoice Number Invoice Date IGST Paid(INR)
XXXXXXXXX/19  2017-09-20  33260  Total</t>
  </si>
  <si>
    <t>GSTIN    -    09AXXXXXXXXP2ZF
Invoice Number Invoice Date IGST Paid(INR)
XXXXXXXXX/22  2017-10-17  4296  Total</t>
  </si>
  <si>
    <t>0617QCH001  699</t>
  </si>
  <si>
    <t>GSTIN    -    09AXXXXXXXXR1ZJ
Invoice Number Invoice Date IGST Paid(INR)
XXXXXXXXXXXXX001  2017-10-25  956079  Total</t>
  </si>
  <si>
    <t>GSTIN    -    09BXXXXXXXXA1ZM
Invoice Number Invoice Date IGST Paid(INR)
XXXXXXXXXXXXX/17  2017-09-09  24308 
XXXXXXXXXXXXX/17  2017-09-09  22685  Total</t>
  </si>
  <si>
    <t>0616907401  AAC</t>
  </si>
  <si>
    <t>GSTIN    -    09BXXXXXXXXJ1ZL
Invoice Number Invoice Date IGST Paid(INR)
XXXXXXXXX018  2017-08-28  15226  Total</t>
  </si>
  <si>
    <t>GSTIN    -    19AXXXXXXXXC1ZW
Invoice Number Invoice Date IGST Paid(INR)
XXXXXXXXXXXX017  2017-10-31  194792  Total</t>
  </si>
  <si>
    <t>GSTIN    -    20AXXXXXXXXE1ZX
Invoice Number Invoice Date IGST Paid(INR)
XXXXXXXXXXXXXX17-  2017-10-04  13503  Total</t>
  </si>
  <si>
    <t>0671  FHMPS1058</t>
  </si>
  <si>
    <t>GSTIN    -    24AXXXXXXXXA1ZY
Invoice Number Invoice Date IGST Paid(INR)
23  2017-08-28  17510  Total</t>
  </si>
  <si>
    <t>GSTIN    -    24AXXXXXXXXK1ZB
Invoice Number Invoice Date IGST Paid(INR)
XXXXXXXXXXXXXX-18  2017-11-15  86415  Total</t>
  </si>
  <si>
    <t>06LCH002  62097</t>
  </si>
  <si>
    <t>GSTIN    -    26AXXXXXXXXN2Z5
Invoice Number Invoice Date IGST Paid(INR)
XXXXXXXXXXX-08  2017-08-12  66584  Total</t>
  </si>
  <si>
    <t>GSTIN    -    27AXXXXXXXXA1ZR
Invoice Number Invoice Date IGST Paid(INR)
X505  2017-09-14  43054  Total</t>
  </si>
  <si>
    <t>GSTIN    -    27AXXXXXXXXE1ZE
Invoice Number Invoice Date IGST Paid(INR)
XXXXXXXX-18  2017-08-24  303975  Total</t>
  </si>
  <si>
    <t>GSTIN    -    27AXXXXXXXXG1ZA
Invoice Number Invoice Date IGST Paid(INR)
XXXXXXXXXXX-18  2017-11-11  1193  Total</t>
  </si>
  <si>
    <t>GSTIN    -    27AXXXXXXXXG1ZA
Invoice Number Invoice Date IGST Paid(INR)
XXXXXXXXXXXXX8/A  2017-10-06  40207  Total</t>
  </si>
  <si>
    <t>GSTIN    -    27AXXXXXXXXG1ZZ
Invoice Number Invoice Date IGST Paid(INR)
XXXXXXXXXXXXXX-18  2017-11-30  67946  Total</t>
  </si>
  <si>
    <t>GSTIN    -    27AXXXXXXXXN1Z4
Invoice Number Invoice Date IGST Paid(INR)
XXXXX042  2017-08-09  5030  Total</t>
  </si>
  <si>
    <t>GSTIN    -    27AXXXXXXXXR1ZF
Invoice Number Invoice Date IGST Paid(INR)
XXXXXXXXXXXX-18  2017-08-07  19042  Total</t>
  </si>
  <si>
    <t>GSTIN    -    27AXXXXXXXXR1ZF
Invoice Number Invoice Date IGST Paid(INR)
XXXXXXXXXXXX-18  2017-09-04  8950  Total</t>
  </si>
  <si>
    <t>GSTIN    -    27AXXXXXXXXR1ZF
Invoice Number Invoice Date IGST Paid(INR)
XXXXXXXXXXXX-18  2017-09-19  35762  Total</t>
  </si>
  <si>
    <t>GSTIN    -    27AXXXXXXXXR1ZF
Invoice Number Invoice Date IGST Paid(INR)
XXXXXXXXXXXX-18  2017-09-22  152148  Total</t>
  </si>
  <si>
    <t>GSTIN    -    27AXXXXXXXXR1ZF
Invoice Number Invoice Date IGST Paid(INR)
XXXXXXXXXXXX-18  2017-09-22  17820  Total</t>
  </si>
  <si>
    <t>GSTIN    -    27AXXXXXXXXR1ZF
Invoice Number Invoice Date IGST Paid(INR)
XXXXXXXXXXXX-18  2017-09-22  70092  Total</t>
  </si>
  <si>
    <t xml:space="preserve">06.1  0  5026  </t>
  </si>
  <si>
    <t>GSTIN    -    27AXXXXXXXXR1ZF
Invoice Number Invoice Date IGST Paid(INR)
XXXXXXXXXXXX-18  2017-10-06  63000  Total</t>
  </si>
  <si>
    <t>GSTIN    -    27AXXXXXXXXR1ZF
Invoice Number Invoice Date IGST Paid(INR)
XXXXXXXXXXXXXX-18  2017-10-26  168000  Total</t>
  </si>
  <si>
    <t>GSTIN    -    27AXXXXXXXXR1ZF
Invoice Number Invoice Date IGST Paid(INR)
XXXXXXXXXXXXXX718  2017-12-06  8950  Total</t>
  </si>
  <si>
    <t>GSTIN    -    29AXXXXXXXXJ1Z5
Invoice Number Invoice Date IGST Paid(INR)
XXXXXXXXXXX017  2017-11-17  74410  Total</t>
  </si>
  <si>
    <t>Count of ROSL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</si>
</sst>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33" borderId="0" xfId="0" applyFont="1" applyFill="1"/>
    <xf numFmtId="0" fontId="0" fillId="0" borderId="0" xfId="0" pivotButton="1"/>
    <xf numFmtId="0" fontId="0" fillId="0" borderId="0" xfId="0" applyNumberFormat="1"/>
    <xf numFmtId="0" fontId="0" fillId="0" borderId="0" xfId="0" applyAlignment="1">
      <alignment wrapText="1"/>
    </xf>
    <xf numFmtId="0" fontId="16" fillId="33" borderId="0" xfId="0" applyFont="1" applyFill="1" applyAlignment="1">
      <alignment horizontal="center" wrapText="1"/>
    </xf>
    <xf numFmtId="0" fontId="0" fillId="0" borderId="0" xfId="0" applyAlignment="1">
      <alignment horizontal="center"/>
    </xf>
    <xf numFmtId="0" fontId="16" fillId="33"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2.076756712966" createdVersion="8" refreshedVersion="8" minRefreshableVersion="3" recordCount="379" xr:uid="{55FB2312-C80F-41BC-B788-E75598924A21}">
  <cacheSource type="worksheet">
    <worksheetSource ref="A1:J380" sheet="Sheet1"/>
  </cacheSource>
  <cacheFields count="10">
    <cacheField name="PORT Code" numFmtId="0">
      <sharedItems count="1">
        <s v="TUGLAKABAD ICD (INTKD6)"/>
      </sharedItems>
    </cacheField>
    <cacheField name="SB no" numFmtId="0">
      <sharedItems containsSemiMixedTypes="0" containsString="0" containsNumber="1" containsInteger="1" minValue="1023575" maxValue="9962305"/>
    </cacheField>
    <cacheField name="SB date" numFmtId="0">
      <sharedItems/>
    </cacheField>
    <cacheField name="Details" numFmtId="0">
      <sharedItems longText="1"/>
    </cacheField>
    <cacheField name="Current status" numFmtId="0">
      <sharedItems longText="1"/>
    </cacheField>
    <cacheField name="EGM no" numFmtId="0">
      <sharedItems/>
    </cacheField>
    <cacheField name="ROSL" numFmtId="0">
      <sharedItems/>
    </cacheField>
    <cacheField name="GST" numFmtId="0">
      <sharedItems/>
    </cacheField>
    <cacheField name="Gateway" numFmtId="0">
      <sharedItems count="252">
        <s v="AWB No. Gateway Port Gateway EGM No. Gateway EGM Date Gateway Site ID Error Code_x000a_N.A.  INMUN1  137976  2017-11-01 00:00:00.0  INMUN1  S "/>
        <s v="AWB No. Gateway Port Gateway EGM No. Gateway EGM Date Gateway Site ID Error Code_x000a_N.A.  INMUN1  131465  2017-07-14 00:00:00.0  INMUN1  S "/>
        <s v="AWB No. Gateway Port Gateway EGM No. Gateway EGM Date Gateway Site ID Error Code_x000a_N.A.  INNSA1  N.A.  N.A.  N.A.  N.A. "/>
        <s v="AWB No. Gateway Port Gateway EGM No. Gateway EGM Date Gateway Site ID Error Code_x000a_N.A.  INNSA1  132025  2017-07-24 00:00:00.0  INNSA1  S "/>
        <s v="AWB No. Gateway Port Gateway EGM No. Gateway EGM Date Gateway Site ID Error Code_x000a_N.A.  INMUN1  132702  2017-08-04 00:00:00.0  INMUN1  S "/>
        <s v="AWB No. Gateway Port Gateway EGM No. Gateway EGM Date Gateway Site ID Error Code_x000a_N.A.  INMUN1  134053  2017-08-28 00:00:00.0  INMUN1  ST "/>
        <s v="AWB No. Gateway Port Gateway EGM No. Gateway EGM Date Gateway Site ID Error Code_x000a_N.A.  INNSA1  131685  2017-07-18 00:00:00.0  INNSA1  S "/>
        <s v="AWB No. Gateway Port Gateway EGM No. Gateway EGM Date Gateway Site ID Error Code_x000a_N.A.  INNSA1  132629  2017-08-03 00:00:00.0  INNSA1  S "/>
        <s v="AWB No. Gateway Port Gateway EGM No. Gateway EGM Date Gateway Site ID Error Code_x000a_N.A.  INNSA1  132146  2017-07-26 00:00:00.0  INNSA1  S "/>
        <s v="AWB No. Gateway Port Gateway EGM No. Gateway EGM Date Gateway Site ID Error Code_x000a_N.A.  INNSA1  132431  2017-07-31 00:00:00.0  INNSA1  S "/>
        <s v="AWB No. Gateway Port Gateway EGM No. Gateway EGM Date Gateway Site ID Error Code_x000a_N.A.  INMUN1  134637  2017-09-06 00:00:00.0  INMUN1  S "/>
        <s v="AWB No. Gateway Port Gateway EGM No. Gateway EGM Date Gateway Site ID Error Code_x000a_N.A.  INNSA1  133033  2017-08-10 00:00:00.0  INNSA1  C "/>
        <s v="Please Wait...."/>
        <s v="AWB No. Gateway Port Gateway EGM No. Gateway EGM Date Gateway Site ID Error Code_x000a_N.A.  INNSA1  169501  2019-03-29 00:00:00.0  INNSA1  S "/>
        <s v="AWB No. Gateway Port Gateway EGM No. Gateway EGM Date Gateway Site ID Error Code_x000a_N.A.  INNSA1  132812  2017-08-07 00:00:00.0  INNSA1  C "/>
        <s v="AWB No. Gateway Port Gateway EGM No. Gateway EGM Date Gateway Site ID Error Code_x000a_N.A.  INPAV1  132210  2017-07-26 00:00:00.0  INPAV1  S "/>
        <s v="AWB No. Gateway Port Gateway EGM No. Gateway EGM Date Gateway Site ID Error Code_x000a_N.A.  INNSA1  132737  2017-08-04 00:00:00.0  INNSA1  S "/>
        <s v="AWB No. Gateway Port Gateway EGM No. Gateway EGM Date Gateway Site ID Error Code_x000a_N.A.  INNSA1  132731  2017-08-04 00:00:00.0  INNSA1  S "/>
        <s v="AWB No. Gateway Port Gateway EGM No. Gateway EGM Date Gateway Site ID Error Code_x000a_N.A.  INNSA1  133243  2017-08-14 00:00:00.0  INNSA1  C "/>
        <s v="AWB No. Gateway Port Gateway EGM No. Gateway EGM Date Gateway Site ID Error Code_x000a_N.A.  INMUN1  134015  2017-08-28 00:00:00.0  INMUN1  S "/>
        <s v="AWB No. Gateway Port Gateway EGM No. Gateway EGM Date Gateway Site ID Error Code_x000a_N.A.  INNSA1  132481  2017-07-31 00:00:00.0  INNSA1  C "/>
        <s v="AWB No. Gateway Port Gateway EGM No. Gateway EGM Date Gateway Site ID Error Code_x000a_N.A.  INNSA1  133033  2017-08-10 00:00:00.0  INNSA1  S "/>
        <s v="AWB No. Gateway Port Gateway EGM No. Gateway EGM Date Gateway Site ID Error Code_x000a_N.A.  INNSA1  132991  2017-08-09 00:00:00.0  INNSA1  S "/>
        <s v="AWB No. Gateway Port Gateway EGM No. Gateway EGM Date Gateway Site ID Error Code_x000a_N.A.  INPAV1  132205  2017-07-26 00:00:00.0  INPAV1  S "/>
        <s v="AWB No. Gateway Port Gateway EGM No. Gateway EGM Date Gateway Site ID Error Code_x000a_N.A.  INMUN1  160432  2018-10-31 00:00:00.0  INMUN1  S "/>
        <s v="AWB No. Gateway Port Gateway EGM No. Gateway EGM Date Gateway Site ID Error Code_x000a_N.A.  INNSA1  132332  2017-07-28 00:00:00.0  INNSA1  S "/>
        <s v="AWB No. Gateway Port Gateway EGM No. Gateway EGM Date Gateway Site ID Error Code_x000a_N.A.  INPAV1  133808  2017-08-24 00:00:00.0  INPAV1  S "/>
        <s v="AWB No. Gateway Port Gateway EGM No. Gateway EGM Date Gateway Site ID Error Code_x000a_N.A.  INMUN1  133184  2017-08-11 00:00:00.0  INMUN1  S "/>
        <s v="AWB No. Gateway Port Gateway EGM No. Gateway EGM Date Gateway Site ID Error Code_x000a_N.A.  INMUN1  133567  2017-08-18 00:00:00.0  INMUN1  S "/>
        <s v="AWB No. Gateway Port Gateway EGM No. Gateway EGM Date Gateway Site ID Error Code_x000a_N.A.  INMUN1  137180  2017-10-18 00:00:00.0  INMUN1  ST "/>
        <s v="AWB No. Gateway Port Gateway EGM No. Gateway EGM Date Gateway Site ID Error Code_x000a_N.A.  INMUN1  133566  2017-08-18 00:00:00.0  INMUN1  S "/>
        <s v="AWB No. Gateway Port Gateway EGM No. Gateway EGM Date Gateway Site ID Error Code_x000a_N.A.  INNSA1  132938  2017-08-09 00:00:00.0  INNSA1  S "/>
        <s v="AWB No. Gateway Port Gateway EGM No. Gateway EGM Date Gateway Site ID Error Code_x000a_N.A.  INMUN1  134053  2017-08-28 00:00:00.0  INMUN1  S "/>
        <s v="No Record found"/>
        <s v="AWB No. Gateway Port Gateway EGM No. Gateway EGM Date Gateway Site ID Error Code_x000a_N.A.  INMUN1  N.A.  N.A.  N.A.  N.A. "/>
        <s v="AWB No. Gateway Port Gateway EGM No. Gateway EGM Date Gateway Site ID Error Code_x000a_N.A.  INMUN1  134209  2017-08-30 00:00:00.0  INMUN1  NC "/>
        <s v="AWB No. Gateway Port Gateway EGM No. Gateway EGM Date Gateway Site ID Error Code_x000a_N.A.  INNSA1  133227  2017-08-14 00:00:00.0  INNSA1  S "/>
        <s v="AWB No. Gateway Port Gateway EGM No. Gateway EGM Date Gateway Site ID Error Code_x000a_N.A.  INMUN1  134147  2017-08-29 00:00:00.0  INMUN1  S "/>
        <s v="AWB No. Gateway Port Gateway EGM No. Gateway EGM Date Gateway Site ID Error Code_x000a_N.A.  INMUN1  134794  2017-09-08 00:00:00.0  INMUN1  S "/>
        <s v="AWB No. Gateway Port Gateway EGM No. Gateway EGM Date Gateway Site ID Error Code_x000a_N.A.  INPAV1  133387  2017-08-16 00:00:00.0  INPAV1  S "/>
        <s v="AWB No. Gateway Port Gateway EGM No. Gateway EGM Date Gateway Site ID Error Code_x000a_N.A.  INNSA1  133031  2017-08-10 00:00:00.0  INNSA1  S "/>
        <s v="AWB No. Gateway Port Gateway EGM No. Gateway EGM Date Gateway Site ID Error Code_x000a_N.A.  INPAV1  132215  2017-07-26 00:00:00.0  INPAV1  S "/>
        <s v="AWB No. Gateway Port Gateway EGM No. Gateway EGM Date Gateway Site ID Error Code_x000a_N.A.  INNSA1  134040  2017-08-28 00:00:00.0  INNSA1  S "/>
        <s v="AWB No. Gateway Port Gateway EGM No. Gateway EGM Date Gateway Site ID Error Code_x000a_N.A.  INNSA1  133314  2017-08-16 00:00:00.0  INNSA1  S "/>
        <s v="AWB No. Gateway Port Gateway EGM No. Gateway EGM Date Gateway Site ID Error Code_x000a_N.A.  INMUN1  134051  2017-08-28 00:00:00.0  INMUN1  S "/>
        <s v="AWB No. Gateway Port Gateway EGM No. Gateway EGM Date Gateway Site ID Error Code_x000a_N.A.  INNSA1  134474  2017-09-04 00:00:00.0  INNSA1  C "/>
        <s v="AWB No. Gateway Port Gateway EGM No. Gateway EGM Date Gateway Site ID Error Code_x000a_N.A.  INNSA1  134681  2017-09-07 00:00:00.0  INNSA1  S "/>
        <s v="AWB No. Gateway Port Gateway EGM No. Gateway EGM Date Gateway Site ID Error Code_x000a_N.A.  INMUN1  133949  2017-08-26 00:00:00.0  INMUN1  S "/>
        <s v="AWB No. Gateway Port Gateway EGM No. Gateway EGM Date Gateway Site ID Error Code_x000a_N.A.  INNSA1  133604  2017-08-19 00:00:00.0  INNSA1  S "/>
        <s v="AWB No. Gateway Port Gateway EGM No. Gateway EGM Date Gateway Site ID Error Code_x000a_N.A.  INNSA1  133611  2017-08-21 00:00:00.0  INNSA1  S "/>
        <s v="AWB No. Gateway Port Gateway EGM No. Gateway EGM Date Gateway Site ID Error Code_x000a_N.A.  INPAV1  131777  2017-07-19 00:00:00.0  INPAV1  L "/>
        <s v="AWB No. Gateway Port Gateway EGM No. Gateway EGM Date Gateway Site ID Error Code_x000a_N.A.  INNSA1  134462  2017-09-04 00:00:00.0  INNSA1  S "/>
        <s v="AWB No. Gateway Port Gateway EGM No. Gateway EGM Date Gateway Site ID Error Code_x000a_N.A.  INMUN1  134134  2017-08-29 00:00:00.0  INMUN1  S "/>
        <s v="AWB No. Gateway Port Gateway EGM No. Gateway EGM Date Gateway Site ID Error Code_x000a_N.A.  INMUN1  134209  2017-08-30 00:00:00.0  INMUN1  S "/>
        <s v="AWB No. Gateway Port Gateway EGM No. Gateway EGM Date Gateway Site ID Error Code_x000a_N.A.  INNSA1  133453  2017-08-17 00:00:00.0  INNSA1  S "/>
        <s v="AWB No. Gateway Port Gateway EGM No. Gateway EGM Date Gateway Site ID Error Code_x000a_N.A.  INMUN1  134487  2017-09-04 00:00:00.0  INMUN1  S "/>
        <s v="AWB No. Gateway Port Gateway EGM No. Gateway EGM Date Gateway Site ID Error Code_x000a_N.A.  INMUN1  133789  2017-08-23 00:00:00.0  INMUN1  S "/>
        <s v="AWB No. Gateway Port Gateway EGM No. Gateway EGM Date Gateway Site ID Error Code_x000a_N.A.  INNSA1  134167  2017-08-29 00:00:00.0  INNSA1  S "/>
        <s v="AWB No. Gateway Port Gateway EGM No. Gateway EGM Date Gateway Site ID Error Code_x000a_N.A.  INMUN1  135378  2017-09-19 00:00:00.0  INMUN1  S "/>
        <s v="AWB No. Gateway Port Gateway EGM No. Gateway EGM Date Gateway Site ID Error Code_x000a_N.A.  INPAV1  134074  2017-08-28 00:00:00.0  INPAV1  S "/>
        <s v="AWB No. Gateway Port Gateway EGM No. Gateway EGM Date Gateway Site ID Error Code_x000a_N.A.  INMUN1  140358  2017-12-08 00:00:00.0  INMUN1  ST "/>
        <s v="AWB No. Gateway Port Gateway EGM No. Gateway EGM Date Gateway Site ID Error Code_x000a_N.A.  INMUN1  134796  2017-09-08 00:00:00.0  INMUN1  S "/>
        <s v="AWB No. Gateway Port Gateway EGM No. Gateway EGM Date Gateway Site ID Error Code_x000a_N.A.  INMUN1  134795  2017-09-08 00:00:00.0  INMUN1  S "/>
        <s v="AWB No. Gateway Port Gateway EGM No. Gateway EGM Date Gateway Site ID Error Code_x000a_N.A.  INPAV1  132218  2017-07-26 00:00:00.0  INPAV1  S "/>
        <s v="AWB No. Gateway Port Gateway EGM No. Gateway EGM Date Gateway Site ID Error Code_x000a_N.A.  INPAV1  134066  2017-08-28 00:00:00.0  INPAV1  S "/>
        <s v="AWB No. Gateway Port Gateway EGM No. Gateway EGM Date Gateway Site ID Error Code_x000a_N.A.  INMUN1  134406  2017-09-01 00:00:00.0  INMUN1  S "/>
        <s v="AWB No. Gateway Port Gateway EGM No. Gateway EGM Date Gateway Site ID Error Code_x000a_N.A.  INMUN1  134923  2017-09-12 00:00:00.0  INMUN1  S "/>
        <s v="AWB No. Gateway Port Gateway EGM No. Gateway EGM Date Gateway Site ID Error Code_x000a_N.A.  INMUN1  132131  2017-07-25 00:00:00.0  INMUN1  S "/>
        <s v="AWB No. Gateway Port Gateway EGM No. Gateway EGM Date Gateway Site ID Error Code_x000a_N.A.  INNSA1  133327  2017-08-16 00:00:00.0  INNSA1  S "/>
        <s v="AWB No. Gateway Port Gateway EGM No. Gateway EGM Date Gateway Site ID Error Code_x000a_N.A.  INNSA1  135507  2017-09-21 00:00:00.0  INNSA1  S "/>
        <s v="AWB No. Gateway Port Gateway EGM No. Gateway EGM Date Gateway Site ID Error Code_x000a_N.A.  INPAV1  134495  2017-09-04 00:00:00.0  INPAV1  S "/>
        <s v="AWB No. Gateway Port Gateway EGM No. Gateway EGM Date Gateway Site ID Error Code_x000a_N.A.  INMUN1  134870  2017-09-11 00:00:00.0  INMUN1  S "/>
        <s v="AWB No. Gateway Port Gateway EGM No. Gateway EGM Date Gateway Site ID Error Code_x000a_N.A.  INPAV1  134667  2017-09-07 00:00:00.0  INMAA1  MC "/>
        <s v="AWB No. Gateway Port Gateway EGM No. Gateway EGM Date Gateway Site ID Error Code_x000a_N.A.  INNSA1  137304  2017-10-23 00:00:00.0  INNSA1  S "/>
        <s v="AWB No. Gateway Port Gateway EGM No. Gateway EGM Date Gateway Site ID Error Code_x000a_N.A.  INNSA1  134500  2017-09-04 00:00:00.0  INNSA1  STC "/>
        <s v="AWB No. Gateway Port Gateway EGM No. Gateway EGM Date Gateway Site ID Error Code_x000a_N.A.  INMUN1  133179  2017-08-11 00:00:00.0  INMUN1  S "/>
        <s v="AWB No. Gateway Port Gateway EGM No. Gateway EGM Date Gateway Site ID Error Code_x000a_N.A.  INMUN1  137035  2017-10-16 00:00:00.0  INMUN1  S "/>
        <s v="AWB No. Gateway Port Gateway EGM No. Gateway EGM Date Gateway Site ID Error Code_x000a_N.A.  INMUN1  134793  2017-09-08 00:00:00.0  INMUN1  C "/>
        <s v="AWB No. Gateway Port Gateway EGM No. Gateway EGM Date Gateway Site ID Error Code_x000a_N.A.  INNSA1  134260  2017-08-31 00:00:00.0  INNSA1  S "/>
        <s v="AWB No. Gateway Port Gateway EGM No. Gateway EGM Date Gateway Site ID Error Code_x000a_N.A.  INMUN1  135448  2017-09-20 00:00:00.0  INMUN1  S "/>
        <s v="AWB No. Gateway Port Gateway EGM No. Gateway EGM Date Gateway Site ID Error Code_x000a_N.A.  INPAV1  134057  2017-08-28 00:00:00.0  INPAV1  S "/>
        <s v="AWB No. Gateway Port Gateway EGM No. Gateway EGM Date Gateway Site ID Error Code_x000a_N.A.  INNSA1  135068  2017-09-14 00:00:00.0  INNSA1  S "/>
        <s v="AWB No. Gateway Port Gateway EGM No. Gateway EGM Date Gateway Site ID Error Code_x000a_N.A.  INNSA1  134474  2017-09-04 00:00:00.0  INNSA1  S "/>
        <s v="AWB No. Gateway Port Gateway EGM No. Gateway EGM Date Gateway Site ID Error Code_x000a_N.A.  INMUN1  135390  2017-09-19 00:00:00.0  INMUN1  S "/>
        <s v="AWB No. Gateway Port Gateway EGM No. Gateway EGM Date Gateway Site ID Error Code_x000a_N.A.  INNSA1  134875  2017-09-11 00:00:00.0  INNSA1  S "/>
        <s v="AWB No. Gateway Port Gateway EGM No. Gateway EGM Date Gateway Site ID Error Code_x000a_N.A.  INNSA1  134549  2017-09-05 00:00:00.0  INNSA1  S "/>
        <s v="AWB No. Gateway Port Gateway EGM No. Gateway EGM Date Gateway Site ID Error Code_x000a_N.A.  INNSA1  135239  2017-09-18 00:00:00.0  INNSA1  S "/>
        <s v="AWB No. Gateway Port Gateway EGM No. Gateway EGM Date Gateway Site ID Error Code_x000a_N.A.  INMUN1  135462  2017-09-20 00:00:00.0  INMUN1  S "/>
        <s v="AWB No. Gateway Port Gateway EGM No. Gateway EGM Date Gateway Site ID Error Code_x000a_N.A.  INNSA1  134930  2017-09-12 00:00:00.0  INNSA1  C "/>
        <s v="AWB No. Gateway Port Gateway EGM No. Gateway EGM Date Gateway Site ID Error Code_x000a_N.A.  INMUN1  135461  2017-09-20 00:00:00.0  INMUN1  S "/>
        <s v="AWB No. Gateway Port Gateway EGM No. Gateway EGM Date Gateway Site ID Error Code_x000a_N.A.  INNSA1  134711  2017-09-07 00:00:00.0  INNSA1  ST "/>
        <s v="AWB No. Gateway Port Gateway EGM No. Gateway EGM Date Gateway Site ID Error Code_x000a_N.A.  INNSA1  135192  2017-09-15 00:00:00.0  INNSA1  S "/>
        <s v="AWB No. Gateway Port Gateway EGM No. Gateway EGM Date Gateway Site ID Error Code_x000a_N.A.  INNSA1  135086  2017-09-14 00:00:00.0  INNSA1  S "/>
        <s v="AWB No. Gateway Port Gateway EGM No. Gateway EGM Date Gateway Site ID Error Code_x000a_N.A.  INNSA1  134938  2017-09-12 00:00:00.0  INNSA1  S "/>
        <s v="AWB No. Gateway Port Gateway EGM No. Gateway EGM Date Gateway Site ID Error Code_x000a_N.A.  INNSA1  134766  2017-09-08 00:00:00.0  INNSA1  S "/>
        <s v="AWB No. Gateway Port Gateway EGM No. Gateway EGM Date Gateway Site ID Error Code_x000a_N.A.  INNSA1  135065  2017-09-14 00:00:00.0  INNSA1  S "/>
        <s v="AWB No. Gateway Port Gateway EGM No. Gateway EGM Date Gateway Site ID Error Code_x000a_N.A.  INMUN1  135995  2017-09-28 00:00:00.0  INMUN1  S "/>
        <s v="AWB No. Gateway Port Gateway EGM No. Gateway EGM Date Gateway Site ID Error Code_x000a_N.A.  INPAV1  134063  2017-08-28 00:00:00.0  INPAV1  S "/>
        <s v="AWB No. Gateway Port Gateway EGM No. Gateway EGM Date Gateway Site ID Error Code_x000a_N.A.  INMUN1  134211  2017-08-30 00:00:00.0  INMUN1  S "/>
        <s v="AWB No. Gateway Port Gateway EGM No. Gateway EGM Date Gateway Site ID Error Code_x000a_N.A.  INMUN1  134919  2017-09-12 00:00:00.0  INMUN1  S "/>
        <s v="AWB No. Gateway Port Gateway EGM No. Gateway EGM Date Gateway Site ID Error Code_x000a_N.A.  INNSA1  135503  2017-09-21 00:00:00.0  INNSA1  C "/>
        <s v="AWB No. Gateway Port Gateway EGM No. Gateway EGM Date Gateway Site ID Error Code_x000a_N.A.  INNSA1  135603  2017-09-22 00:00:00.0  INNSA1  S "/>
        <s v="AWB No. Gateway Port Gateway EGM No. Gateway EGM Date Gateway Site ID Error Code_x000a_N.A.  INMUN1  148326  2018-04-13 00:00:00.0  INMUN1  S "/>
        <s v="AWB No. Gateway Port Gateway EGM No. Gateway EGM Date Gateway Site ID Error Code_x000a_N.A.  INNSA1  135349  2017-09-19 00:00:00.0  INNSA1  C "/>
        <s v="AWB No. Gateway Port Gateway EGM No. Gateway EGM Date Gateway Site ID Error Code_x000a_N.A.  INMUN1  135887  2017-09-27 00:00:00.0  INMUN1  S "/>
        <s v="AWB No. Gateway Port Gateway EGM No. Gateway EGM Date Gateway Site ID Error Code_x000a_N.A.  INMUN1  136169  2017-10-03 00:00:00.0  INMUN1  S "/>
        <s v="AWB No. Gateway Port Gateway EGM No. Gateway EGM Date Gateway Site ID Error Code_x000a_N.A.  INNSA1  134741  2017-09-08 00:00:00.0  INNSA1  S "/>
        <s v="AWB No. Gateway Port Gateway EGM No. Gateway EGM Date Gateway Site ID Error Code_x000a_N.A.  INNSA1  136236  2017-10-04 00:00:00.0  INNSA1  C "/>
        <s v="AWB No. Gateway Port Gateway EGM No. Gateway EGM Date Gateway Site ID Error Code_x000a_N.A.  INMUN1  136501  2017-10-08 00:00:00.0  INMUN1  S "/>
        <s v="AWB No. Gateway Port Gateway EGM No. Gateway EGM Date Gateway Site ID Error Code_x000a_N.A.  INNSA1  136144  2017-10-03 00:00:00.0  INNSA1  C "/>
        <s v="AWB No. Gateway Port Gateway EGM No. Gateway EGM Date Gateway Site ID Error Code_x000a_N.A.  INNSA1  135731  2017-09-25 00:00:00.0  INNSA1  S "/>
        <s v="AWB No. Gateway Port Gateway EGM No. Gateway EGM Date Gateway Site ID Error Code_x000a_N.A.  INNSA1  135726  2017-09-25 00:00:00.0  INNSA1  S "/>
        <s v="AWB No. Gateway Port Gateway EGM No. Gateway EGM Date Gateway Site ID Error Code_x000a_N.A.  INMUN1  136070  2017-09-29 00:00:00.0  INMUN1  S "/>
        <s v="AWB No. Gateway Port Gateway EGM No. Gateway EGM Date Gateway Site ID Error Code_x000a_N.A.  INNSA1  135331  2017-09-19 00:00:00.0  INNSA1  S "/>
        <s v="AWB No. Gateway Port Gateway EGM No. Gateway EGM Date Gateway Site ID Error Code_x000a_N.A.  INMUN1  134212  2017-08-30 00:00:00.0  INMUN1  S "/>
        <s v="AWB No. Gateway Port Gateway EGM No. Gateway EGM Date Gateway Site ID Error Code_x000a_N.A.  INNSA1  134677  2017-09-07 00:00:00.0  INNSA1  S "/>
        <s v="AWB No. Gateway Port Gateway EGM No. Gateway EGM Date Gateway Site ID Error Code_x000a_N.A.  INMUN1  135372  2017-09-19 00:00:00.0  INMUN1  S "/>
        <s v="AWB No. Gateway Port Gateway EGM No. Gateway EGM Date Gateway Site ID Error Code_x000a_N.A.  INMUN1  139832  2017-11-30 00:00:00.0  INMUN1  S "/>
        <s v="AWB No. Gateway Port Gateway EGM No. Gateway EGM Date Gateway Site ID Error Code_x000a_N.A.  INMUN1  137768  2017-10-28 00:00:00.0  INMUN1  S "/>
        <s v="AWB No. Gateway Port Gateway EGM No. Gateway EGM Date Gateway Site ID Error Code_x000a_N.A.  INNSA1  136158  2017-10-03 00:00:00.0  INNSA1  S "/>
        <s v="AWB No. Gateway Port Gateway EGM No. Gateway EGM Date Gateway Site ID Error Code_x000a_N.A.  INMUN1  136519  2017-10-09 00:00:00.0  INMUN1  S "/>
        <s v="AWB No. Gateway Port Gateway EGM No. Gateway EGM Date Gateway Site ID Error Code_x000a_N.A.  INNSA1  136238  2017-10-04 00:00:00.0  INNSA1  S "/>
        <s v="AWB No. Gateway Port Gateway EGM No. Gateway EGM Date Gateway Site ID Error Code_x000a_N.A.  INNSA1  136898  2017-10-13 00:00:00.0  INNSA1  S "/>
        <s v="AWB No. Gateway Port Gateway EGM No. Gateway EGM Date Gateway Site ID Error Code_x000a_N.A.  INMUN1  135373  2017-09-19 00:00:00.0  INMUN1  S "/>
        <s v="AWB No. Gateway Port Gateway EGM No. Gateway EGM Date Gateway Site ID Error Code_x000a_N.A.  INNSA1  135755  2017-09-25 00:00:00.0  INNSA1  NC "/>
        <s v="AWB No. Gateway Port Gateway EGM No. Gateway EGM Date Gateway Site ID Error Code_x000a_N.A.  INMUN1  136071  2017-09-29 00:00:00.0  INMUN1  S "/>
        <s v="AWB No. Gateway Port Gateway EGM No. Gateway EGM Date Gateway Site ID Error Code_x000a_N.A.  INNSA1  135119  2017-09-14 00:00:00.0  INNSA1  S "/>
        <s v="AWB No. Gateway Port Gateway EGM No. Gateway EGM Date Gateway Site ID Error Code_x000a_N.A.  INMUN1  136518  2017-10-09 00:00:00.0  INMUN1  S "/>
        <s v="AWB No. Gateway Port Gateway EGM No. Gateway EGM Date Gateway Site ID Error Code_x000a_N.A.  INNSA1  136163  2017-10-03 00:00:00.0  INNSA1  C "/>
        <s v="AWB No. Gateway Port Gateway EGM No. Gateway EGM Date Gateway Site ID Error Code_x000a_N.A.  INNSA1  135895  2017-09-27 00:00:00.0  INNSA1  S "/>
        <s v="AWB No. Gateway Port Gateway EGM No. Gateway EGM Date Gateway Site ID Error Code_x000a_N.A.  INNSA1  135126  2017-09-14 00:00:00.0  INNSA1  S "/>
        <s v="AWB No. Gateway Port Gateway EGM No. Gateway EGM Date Gateway Site ID Error Code_x000a_N.A.  INNSA1  136252  2017-10-04 00:00:00.0  INNSA1  S "/>
        <s v="AWB No. Gateway Port Gateway EGM No. Gateway EGM Date Gateway Site ID Error Code_x000a_N.A.  INNSA1  137096  2017-10-17 00:00:00.0  INNSA1  C "/>
        <s v="AWB No. Gateway Port Gateway EGM No. Gateway EGM Date Gateway Site ID Error Code_x000a_N.A.  INMUN1  140361  2017-12-08 00:00:00.0  INMUN1  S "/>
        <s v="AWB No. Gateway Port Gateway EGM No. Gateway EGM Date Gateway Site ID Error Code_x000a_N.A.  INMUN1  136910  2017-10-13 00:00:00.0  INMUN1  S "/>
        <s v="AWB No. Gateway Port Gateway EGM No. Gateway EGM Date Gateway Site ID Error Code_x000a_N.A.  INMUN1  138865  2017-11-15 00:00:00.0  INMUN1  S "/>
        <s v="AWB No. Gateway Port Gateway EGM No. Gateway EGM Date Gateway Site ID Error Code_x000a_N.A.  INNSA1  137147  2017-10-18 00:00:00.0  INNSA1  S "/>
        <s v="AWB No. Gateway Port Gateway EGM No. Gateway EGM Date Gateway Site ID Error Code_x000a_N.A.  INNSA1  136648  2017-10-10 00:00:00.0  INNSA1  C "/>
        <s v="AWB No. Gateway Port Gateway EGM No. Gateway EGM Date Gateway Site ID Error Code_x000a_N.A.  INNSA1  136123  2017-10-02 00:00:00.0  INNSA1  S "/>
        <s v="AWB No. Gateway Port Gateway EGM No. Gateway EGM Date Gateway Site ID Error Code_x000a_N.A.  INNSA1  136151  2017-10-03 00:00:00.0  INNSA1  S "/>
        <s v="AWB No. Gateway Port Gateway EGM No. Gateway EGM Date Gateway Site ID Error Code_x000a_N.A.  INNSA1  136204  2017-10-03 00:00:00.0  INNSA1  S "/>
        <s v="AWB No. Gateway Port Gateway EGM No. Gateway EGM Date Gateway Site ID Error Code_x000a_N.A.  INNSA1  136637  2017-10-10 00:00:00.0  INNSA1  C "/>
        <s v="AWB No. Gateway Port Gateway EGM No. Gateway EGM Date Gateway Site ID Error Code_x000a_N.A.  INNSA1  138138  2017-11-03 00:00:00.0  INNSA1  C "/>
        <s v="AWB No. Gateway Port Gateway EGM No. Gateway EGM Date Gateway Site ID Error Code_x000a_N.A.  INPAV1  137330  2017-10-23 00:00:00.0  INPAV1  S "/>
        <s v="AWB No. Gateway Port Gateway EGM No. Gateway EGM Date Gateway Site ID Error Code_x000a_N.A.  INMUN1  137020  2017-10-16 00:00:00.0  INMUN1  S "/>
        <s v="AWB No. Gateway Port Gateway EGM No. Gateway EGM Date Gateway Site ID Error Code_x000a_N.A.  INMUN1  137857  2017-10-30 00:00:00.0  INMUN1  S "/>
        <s v="AWB No. Gateway Port Gateway EGM No. Gateway EGM Date Gateway Site ID Error Code_x000a_N.A.  INNSA1  136639  2017-10-10 00:00:00.0  INNSA1  S "/>
        <s v="AWB No. Gateway Port Gateway EGM No. Gateway EGM Date Gateway Site ID Error Code_x000a_N.A.  INMUN1  137573  2017-10-25 00:00:00.0  INMUN1  S "/>
        <s v="AWB No. Gateway Port Gateway EGM No. Gateway EGM Date Gateway Site ID Error Code_x000a_N.A.  INMUN1  137953  2017-11-01 00:00:00.0  INMUN1  S "/>
        <s v="AWB No. Gateway Port Gateway EGM No. Gateway EGM Date Gateway Site ID Error Code_x000a_N.A.  INNSA1  137147  2017-10-18 00:00:00.0  INNSA1  C "/>
        <s v="AWB No. Gateway Port Gateway EGM No. Gateway EGM Date Gateway Site ID Error Code_x000a_N.A.  INNSA1  138449  2017-11-09 00:00:00.0  INNSA1  S "/>
        <s v="AWB No. Gateway Port Gateway EGM No. Gateway EGM Date Gateway Site ID Error Code_x000a_N.A.  INPAV1  138356  2017-11-07 00:00:00.0  INPAV1  S "/>
        <s v="AWB No. Gateway Port Gateway EGM No. Gateway EGM Date Gateway Site ID Error Code_x000a_N.A.  INNSA1  137367  2017-10-23 00:00:00.0  INNSA1  S "/>
        <s v="AWB No. Gateway Port Gateway EGM No. Gateway EGM Date Gateway Site ID Error Code_x000a_N.A.  INNSA1  137969  2017-11-01 00:00:00.0  INNSA1  C "/>
        <s v="AWB No. Gateway Port Gateway EGM No. Gateway EGM Date Gateway Site ID Error Code_x000a_N.A.  INNSA1  138138  2017-11-03 00:00:00.0  INNSA1  S "/>
        <s v="AWB No. Gateway Port Gateway EGM No. Gateway EGM Date Gateway Site ID Error Code_x000a_N.A.  INNSA1  137453  2017-10-24 00:00:00.0  INNSA1  C "/>
        <s v="AWB No. Gateway Port Gateway EGM No. Gateway EGM Date Gateway Site ID Error Code_x000a_N.A.  INMUN1  139244  2017-11-21 00:00:00.0  INMUN1  S "/>
        <s v="AWB No. Gateway Port Gateway EGM No. Gateway EGM Date Gateway Site ID Error Code_x000a_N.A.  INNSA1  137348  2017-10-23 00:00:00.0  INNSA1  S "/>
        <s v="AWB No. Gateway Port Gateway EGM No. Gateway EGM Date Gateway Site ID Error Code_x000a_N.A.  INNSA1  137366  2017-10-23 00:00:00.0  INNSA1  S "/>
        <s v="AWB No. Gateway Port Gateway EGM No. Gateway EGM Date Gateway Site ID Error Code_x000a_N.A.  INNSA1  137830  2017-10-30 00:00:00.0  INNSA1  S "/>
        <s v="AWB No. Gateway Port Gateway EGM No. Gateway EGM Date Gateway Site ID Error Code_x000a_N.A.  INNSA1  138455  2017-11-09 00:00:00.0  INNSA1  S "/>
        <s v="AWB No. Gateway Port Gateway EGM No. Gateway EGM Date Gateway Site ID Error Code_x000a_N.A.  INNSA1  138732  2017-11-14 00:00:00.0  INNSA1  S "/>
        <s v="AWB No. Gateway Port Gateway EGM No. Gateway EGM Date Gateway Site ID Error Code_x000a_N.A.  INNSA1  137889  2017-10-31 00:00:00.0  INNSA1  S "/>
        <s v="AWB No. Gateway Port Gateway EGM No. Gateway EGM Date Gateway Site ID Error Code_x000a_N.A.  INNSA1  138837  2017-11-15 00:00:00.0  INNSA1  S "/>
        <s v="AWB No. Gateway Port Gateway EGM No. Gateway EGM Date Gateway Site ID Error Code_x000a_N.A.  INMUN1  140630  2017-12-13 00:00:00.0  INMUN1  S "/>
        <s v="AWB No. Gateway Port Gateway EGM No. Gateway EGM Date Gateway Site ID Error Code_x000a_N.A.  INMUN1  138363  2017-11-07 00:00:00.0  INMUN1  S "/>
        <s v="AWB No. Gateway Port Gateway EGM No. Gateway EGM Date Gateway Site ID Error Code_x000a_N.A.  INNSA1  137353  2017-10-23 00:00:00.0  INNSA1  C "/>
        <s v="AWB No. Gateway Port Gateway EGM No. Gateway EGM Date Gateway Site ID Error Code_x000a_N.A.  INMUN1  137950  2017-11-01 00:00:00.0  INMUN1  S "/>
        <s v="AWB No. Gateway Port Gateway EGM No. Gateway EGM Date Gateway Site ID Error Code_x000a_N.A.  INMUN1  141255  2017-12-23 00:00:00.0  INMUN1  S "/>
        <s v="AWB No. Gateway Port Gateway EGM No. Gateway EGM Date Gateway Site ID Error Code_x000a_N.A.  INMUN1  151099  2018-05-28 00:00:00.0  INMUN1  S "/>
        <s v="AWB No. Gateway Port Gateway EGM No. Gateway EGM Date Gateway Site ID Error Code_x000a_N.A.  INNSA1  137370  2017-10-23 00:00:00.0  INNSA1  C "/>
        <s v="AWB No. Gateway Port Gateway EGM No. Gateway EGM Date Gateway Site ID Error Code_x000a_N.A.  INNSA1  138710  2017-11-13 00:00:00.0  INNSA1  S "/>
        <s v="AWB No. Gateway Port Gateway EGM No. Gateway EGM Date Gateway Site ID Error Code_x000a_N.A.  INMUN1  139000  2017-11-17 00:00:00.0  INMUN1  S "/>
        <s v="AWB No. Gateway Port Gateway EGM No. Gateway EGM Date Gateway Site ID Error Code_x000a_N.A.  INMUN1  138685  2017-11-13 00:00:00.0  INMUN1  S "/>
        <s v="AWB No. Gateway Port Gateway EGM No. Gateway EGM Date Gateway Site ID Error Code_x000a_N.A.  INPAV1  137989  2017-11-01 00:00:00.0  INPAV1  S "/>
        <s v="AWB No. Gateway Port Gateway EGM No. Gateway EGM Date Gateway Site ID Error Code_x000a_N.A.  INMUN1  139245  2017-11-21 00:00:00.0  INMUN1  S "/>
        <s v="AWB No. Gateway Port Gateway EGM No. Gateway EGM Date Gateway Site ID Error Code_x000a_N.A.  INMUN1  139240  2017-11-21 00:00:00.0  INMUN1  S "/>
        <s v="AWB No. Gateway Port Gateway EGM No. Gateway EGM Date Gateway Site ID Error Code_x000a_N.A.  INNSA1  139142  2017-11-20 00:00:00.0  INNSA1  S "/>
        <s v="AWB No. Gateway Port Gateway EGM No. Gateway EGM Date Gateway Site ID Error Code_x000a_N.A.  INNSA1  137386  2017-10-23 00:00:00.0  INNSA1  S "/>
        <s v="AWB No. Gateway Port Gateway EGM No. Gateway EGM Date Gateway Site ID Error Code_x000a_N.A.  INMUN1  140712  2017-12-15 00:00:00.0  INMUN1  S "/>
        <s v="AWB No. Gateway Port Gateway EGM No. Gateway EGM Date Gateway Site ID Error Code_x000a_N.A.  INPAV1  137999  2017-11-01 00:00:00.0  INPAV1  S "/>
        <s v="AWB No. Gateway Port Gateway EGM No. Gateway EGM Date Gateway Site ID Error Code_x000a_N.A.  INNSA1  138641  2017-11-13 00:00:00.0  INNSA1  S "/>
        <s v="AWB No. Gateway Port Gateway EGM No. Gateway EGM Date Gateway Site ID Error Code_x000a_N.A.  INMUN1  139344  2017-11-22 00:00:00.0  INMUN1  S "/>
        <s v="AWB No. Gateway Port Gateway EGM No. Gateway EGM Date Gateway Site ID Error Code_x000a_N.A.  INNSA1  139138  2017-11-20 00:00:00.0  INNSA1  S "/>
        <s v="AWB No. Gateway Port Gateway EGM No. Gateway EGM Date Gateway Site ID Error Code_x000a_N.A.  INNSA1  138478  2017-11-09 00:00:00.0  INNSA1  S "/>
        <s v="AWB No. Gateway Port Gateway EGM No. Gateway EGM Date Gateway Site ID Error Code_x000a_N.A.  INMUN1  139513  2017-11-24 00:00:00.0  INMUN1  S "/>
        <s v="AWB No. Gateway Port Gateway EGM No. Gateway EGM Date Gateway Site ID Error Code_x000a_N.A.  INMUN1  140625  2017-12-13 00:00:00.0  INMUN1  S "/>
        <s v="AWB No. Gateway Port Gateway EGM No. Gateway EGM Date Gateway Site ID Error Code_x000a_N.A.  INNSA1  139301  2017-11-22 00:00:00.0  INNSA1  S "/>
        <s v="AWB No. Gateway Port Gateway EGM No. Gateway EGM Date Gateway Site ID Error Code_x000a_N.A.  INMUN1  140199  2017-12-06 00:00:00.0  INMUN1  S "/>
        <s v="AWB No. Gateway Port Gateway EGM No. Gateway EGM Date Gateway Site ID Error Code_x000a_N.A.  INNSA1  139557  2017-11-27 00:00:00.0  INNSA1  S "/>
        <s v="AWB No. Gateway Port Gateway EGM No. Gateway EGM Date Gateway Site ID Error Code_x000a_N.A.  INNSA1  139647  2017-11-28 00:00:00.0  INNSA1  S "/>
        <s v="AWB No. Gateway Port Gateway EGM No. Gateway EGM Date Gateway Site ID Error Code_x000a_N.A.  INNSA1  139757  2017-11-29 00:00:00.0  INNSA1  S "/>
        <s v="AWB No. Gateway Port Gateway EGM No. Gateway EGM Date Gateway Site ID Error Code_x000a_N.A.  INMUN1  141045  2017-12-20 00:00:00.0  INMUN1  S "/>
        <s v="AWB No. Gateway Port Gateway EGM No. Gateway EGM Date Gateway Site ID Error Code_x000a_N.A.  INNSA1  138234  2017-11-06 00:00:00.0  INNSA1  S "/>
        <s v="AWB No. Gateway Port Gateway EGM No. Gateway EGM Date Gateway Site ID Error Code_x000a_N.A.  INNSA1  139773  2017-11-29 00:00:00.0  INNSA1  S "/>
        <s v="AWB No. Gateway Port Gateway EGM No. Gateway EGM Date Gateway Site ID Error Code_x000a_N.A.  INMUN1  138172  2017-11-03 00:00:00.0  INMUN1  S "/>
        <s v="AWB No. Gateway Port Gateway EGM No. Gateway EGM Date Gateway Site ID Error Code_x000a_N.A.  INPAV1  139653  2017-11-28 00:00:00.0  INPAV1  S "/>
        <s v="AWB No. Gateway Port Gateway EGM No. Gateway EGM Date Gateway Site ID Error Code_x000a_N.A.  INMUN1  138681  2017-11-13 00:00:00.0  INMUN1  S "/>
        <s v="AWB No. Gateway Port Gateway EGM No. Gateway EGM Date Gateway Site ID Error Code_x000a_N.A.  INMUN1  138991  2017-11-17 00:00:00.0  INMUN1  S "/>
        <s v="AWB No. Gateway Port Gateway EGM No. Gateway EGM Date Gateway Site ID Error Code_x000a_N.A.  INMUN1  140232  2017-12-07 00:00:00.0  INMUN1  S "/>
        <s v="AWB No. Gateway Port Gateway EGM No. Gateway EGM Date Gateway Site ID Error Code_x000a_N.A.  INNSA1  139792  2017-11-30 00:00:00.0  INNSA1  S "/>
        <s v="AWB No. Gateway Port Gateway EGM No. Gateway EGM Date Gateway Site ID Error Code_x000a_N.A.  INPAV1  139963  2017-12-04 00:00:00.0  INPAV1  S "/>
        <s v="AWB No. Gateway Port Gateway EGM No. Gateway EGM Date Gateway Site ID Error Code_x000a_N.A.  INMUN1  140925  2017-12-19 00:00:00.0  INMUN1  S "/>
        <s v="AWB No. Gateway Port Gateway EGM No. Gateway EGM Date Gateway Site ID Error Code_x000a_N.A.  INNSA1  140047  2017-12-05 00:00:00.0  INNSA1  S "/>
        <s v="AWB No. Gateway Port Gateway EGM No. Gateway EGM Date Gateway Site ID Error Code_x000a_N.A.  INNSA1  140041  2017-12-05 00:00:00.0  INNSA1  S "/>
        <s v="AWB No. Gateway Port Gateway EGM No. Gateway EGM Date Gateway Site ID Error Code_x000a_N.A.  INMUN1  139070  2017-11-17 00:00:00.0  INMUN1  S "/>
        <s v="AWB No. Gateway Port Gateway EGM No. Gateway EGM Date Gateway Site ID Error Code_x000a_N.A.  INNSA1  139999  2017-12-04 00:00:00.0  INNSA1  S "/>
        <s v="AWB No. Gateway Port Gateway EGM No. Gateway EGM Date Gateway Site ID Error Code_x000a_N.A.  INNSA1  138232  2017-11-06 00:00:00.0  INNSA1  N "/>
        <s v="AWB No. Gateway Port Gateway EGM No. Gateway EGM Date Gateway Site ID Error Code_x000a_N.A.  INNSA1  140472  2017-12-12 00:00:00.0  INNSA1  S "/>
        <s v="AWB No. Gateway Port Gateway EGM No. Gateway EGM Date Gateway Site ID Error Code_x000a_N.A.  INNSA1  139986  2017-12-04 00:00:00.0  INNSA1  S "/>
        <s v="AWB No. Gateway Port Gateway EGM No. Gateway EGM Date Gateway Site ID Error Code_x000a_N.A.  INMUN1  140703  2017-12-14 00:00:00.0  INMUN1  S "/>
        <s v="AWB No. Gateway Port Gateway EGM No. Gateway EGM Date Gateway Site ID Error Code_x000a_N.A.  INMUN1  140290  2017-12-07 00:00:00.0  INMUN1  S "/>
        <s v="AWB No. Gateway Port Gateway EGM No. Gateway EGM Date Gateway Site ID Error Code_x000a_N.A.  INNSA1  140726  2017-12-15 00:00:00.0  INNSA1  C "/>
        <s v="AWB No. Gateway Port Gateway EGM No. Gateway EGM Date Gateway Site ID Error Code_x000a_N.A.  INPAV1  140083  2017-12-05 00:00:00.0  INPAV1  S "/>
        <s v="AWB No. Gateway Port Gateway EGM No. Gateway EGM Date Gateway Site ID Error Code_x000a_N.A.  INNSA1  140677  2017-12-14 00:00:00.0  INNSA1  S "/>
        <s v="AWB No. Gateway Port Gateway EGM No. Gateway EGM Date Gateway Site ID Error Code_x000a_N.A.  INNSA1  140365  2017-12-08 00:00:00.0  INNSA1  N "/>
        <s v="AWB No. Gateway Port Gateway EGM No. Gateway EGM Date Gateway Site ID Error Code_x000a_N.A.  INMUN1  141077  2017-12-21 00:00:00.0  INMUN1  S "/>
        <s v="AWB No. Gateway Port Gateway EGM No. Gateway EGM Date Gateway Site ID Error Code_x000a_N.A.  INPAV1  139966  2017-12-04 00:00:00.0  INPAV1  S "/>
        <s v="AWB No. Gateway Port Gateway EGM No. Gateway EGM Date Gateway Site ID Error Code_x000a_N.A.  INMUN1  141426  2017-12-27 00:00:00.0  INMUN1  S "/>
        <s v="AWB No. Gateway Port Gateway EGM No. Gateway EGM Date Gateway Site ID Error Code_x000a_N.A.  INPAV1  140831  2017-12-18 00:00:00.0  INPAV1  S "/>
        <s v="AWB No. Gateway Port Gateway EGM No. Gateway EGM Date Gateway Site ID Error Code_x000a_N.A.  INMUN1  140930  2017-12-19 00:00:00.0  INMUN1  S "/>
        <s v="AWB No. Gateway Port Gateway EGM No. Gateway EGM Date Gateway Site ID Error Code_x000a_N.A.  INMUN1  140931  2017-12-19 00:00:00.0  INMUN1  S "/>
        <s v="AWB No. Gateway Port Gateway EGM No. Gateway EGM Date Gateway Site ID Error Code_x000a_N.A.  INNSA1  138758  2017-11-14 00:00:00.0  INNSA1  S "/>
        <s v="AWB No. Gateway Port Gateway EGM No. Gateway EGM Date Gateway Site ID Error Code_x000a_N.A.  INNSA1  140487  2017-12-12 00:00:00.0  INNSA1  S "/>
        <s v="AWB No. Gateway Port Gateway EGM No. Gateway EGM Date Gateway Site ID Error Code_x000a_N.A.  INNSA1  140586  2017-12-12 00:00:00.0  INNSA1  S "/>
        <s v="AWB No. Gateway Port Gateway EGM No. Gateway EGM Date Gateway Site ID Error Code_x000a_N.A.  INNSA1  140402  2017-12-11 00:00:00.0  INNSA1  S "/>
        <s v="AWB No. Gateway Port Gateway EGM No. Gateway EGM Date Gateway Site ID Error Code_x000a_N.A.  INNSA1  141463  2017-12-27 00:00:00.0  INNSA1  S "/>
        <s v="AWB No. Gateway Port Gateway EGM No. Gateway EGM Date Gateway Site ID Error Code_x000a_N.A.  INMUN1  141297  2017-12-26 00:00:00.0  INMUN1  S "/>
        <s v="AWB No. Gateway Port Gateway EGM No. Gateway EGM Date Gateway Site ID Error Code_x000a_N.A.  INNSA1  141039  2017-12-20 00:00:00.0  INNSA1  S "/>
        <s v="AWB No. Gateway Port Gateway EGM No. Gateway EGM Date Gateway Site ID Error Code_x000a_N.A.  INNSA1  141083  2017-12-21 00:00:00.0  INNSA1  C "/>
        <s v="AWB No. Gateway Port Gateway EGM No. Gateway EGM Date Gateway Site ID Error Code_x000a_N.A.  INNSA1  140724  2017-12-15 00:00:00.0  INNSA1  S "/>
        <s v="AWB No. Gateway Port Gateway EGM No. Gateway EGM Date Gateway Site ID Error Code_x000a_N.A.  INNSA1  141344  2017-12-26 00:00:00.0  INNSA1  C "/>
        <s v="AWB No. Gateway Port Gateway EGM No. Gateway EGM Date Gateway Site ID Error Code_x000a_N.A.  INMUN1  141756  2018-01-02 00:00:00.0  INMUN1  S "/>
        <s v="AWB No. Gateway Port Gateway EGM No. Gateway EGM Date Gateway Site ID Error Code_x000a_N.A.  INNSA1  141116  2017-12-21 00:00:00.0  INNSA1  S "/>
        <s v="AWB No. Gateway Port Gateway EGM No. Gateway EGM Date Gateway Site ID Error Code_x000a_N.A.  INMUN1  140648  2017-12-13 00:00:00.0  INMUN1  S "/>
        <s v="AWB No. Gateway Port Gateway EGM No. Gateway EGM Date Gateway Site ID Error Code_x000a_N.A.  INMUN1  141078  2017-12-21 00:00:00.0  INMUN1  S "/>
        <s v="AWB No. Gateway Port Gateway EGM No. Gateway EGM Date Gateway Site ID Error Code_x000a_N.A.  INMUN1  141502  2017-12-27 00:00:00.0  INMUN1  S "/>
        <s v="AWB No. Gateway Port Gateway EGM No. Gateway EGM Date Gateway Site ID Error Code_x000a_N.A.  INMUN1  141142  2017-12-21 00:00:00.0  INMUN1  S "/>
        <s v="AWB No. Gateway Port Gateway EGM No. Gateway EGM Date Gateway Site ID Error Code_x000a_N.A.  INMUN1  141855  2018-01-03 00:00:00.0  INMUN1  S "/>
        <s v="AWB No. Gateway Port Gateway EGM No. Gateway EGM Date Gateway Site ID Error Code_x000a_N.A.  INMUN1  141901  2018-01-03 00:00:00.0  INMUN1  S "/>
        <s v="AWB No. Gateway Port Gateway EGM No. Gateway EGM Date Gateway Site ID Error Code_x000a_N.A.  INMUN1  142133  2018-01-08 00:00:00.0  INMUN1  S "/>
        <s v="AWB No. Gateway Port Gateway EGM No. Gateway EGM Date Gateway Site ID Error Code_x000a_N.A.  INMUN1  141230  2017-12-22 00:00:00.0  INMUN1  S "/>
        <s v="AWB No. Gateway Port Gateway EGM No. Gateway EGM Date Gateway Site ID Error Code_x000a_N.A.  INNSA1  141394  2017-12-26 00:00:00.0  INNSA1  S "/>
        <s v="AWB No. Gateway Port Gateway EGM No. Gateway EGM Date Gateway Site ID Error Code_x000a_N.A.  INMUN1  143166  2018-01-23 00:00:00.0  INMUN1  S "/>
        <s v="AWB No. Gateway Port Gateway EGM No. Gateway EGM Date Gateway Site ID Error Code_x000a_N.A.  INMUN1  142479  2018-01-12 00:00:00.0  INMUN1  S "/>
        <s v="AWB No. Gateway Port Gateway EGM No. Gateway EGM Date Gateway Site ID Error Code_x000a_N.A.  INMUN1  141264  2017-12-23 00:00:00.0  INMUN1  S "/>
        <s v="AWB No. Gateway Port Gateway EGM No. Gateway EGM Date Gateway Site ID Error Code_x000a_N.A.  INNSA1  142173  2018-01-08 00:00:00.0  INNSA1  S "/>
        <s v="AWB No. Gateway Port Gateway EGM No. Gateway EGM Date Gateway Site ID Error Code_x000a_N.A.  INPAV1  141634  2017-12-29 00:00:00.0  INPAV1  S "/>
        <s v="AWB No. Gateway Port Gateway EGM No. Gateway EGM Date Gateway Site ID Error Code_x000a_N.A.  INMUN1  141770  2018-01-02 00:00:00.0  INMUN1  S "/>
        <s v="AWB No. Gateway Port Gateway EGM No. Gateway EGM Date Gateway Site ID Error Code_x000a_N.A.  INNSA1  141170  2017-12-22 00:00:00.0  INNSA1  S "/>
        <s v="AWB No. Gateway Port Gateway EGM No. Gateway EGM Date Gateway Site ID Error Code_x000a_N.A.  INMUN1  142204  2018-01-09 00:00:00.0  INMUN1  S "/>
        <s v="AWB No. Gateway Port Gateway EGM No. Gateway EGM Date Gateway Site ID Error Code_x000a_N.A.  INMUN1  141231  2017-12-22 00:00:00.0  INMUN1  S "/>
      </sharedItems>
    </cacheField>
    <cacheField name="Clainmed and Not Claimed for ROSL" numFmtId="0">
      <sharedItems count="3">
        <s v="ROSL NOT CLAIMED"/>
        <s v="ROSL CLAIMED"/>
        <s v="NUL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2.082037152781" createdVersion="8" refreshedVersion="8" minRefreshableVersion="3" recordCount="379" xr:uid="{6D87E462-176D-4F3D-8E7D-19213C718D6C}">
  <cacheSource type="worksheet">
    <worksheetSource ref="A1:L380" sheet="Sheet1"/>
  </cacheSource>
  <cacheFields count="11">
    <cacheField name="PORT Code" numFmtId="0">
      <sharedItems count="1">
        <s v="TUGLAKABAD ICD (INTKD6)"/>
      </sharedItems>
    </cacheField>
    <cacheField name="SB no" numFmtId="0">
      <sharedItems containsSemiMixedTypes="0" containsString="0" containsNumber="1" containsInteger="1" minValue="1023575" maxValue="9962305"/>
    </cacheField>
    <cacheField name="SB date" numFmtId="0">
      <sharedItems/>
    </cacheField>
    <cacheField name="Details" numFmtId="0">
      <sharedItems longText="1"/>
    </cacheField>
    <cacheField name="Current status" numFmtId="0">
      <sharedItems longText="1"/>
    </cacheField>
    <cacheField name="EGM no" numFmtId="0">
      <sharedItems/>
    </cacheField>
    <cacheField name="ROSL" numFmtId="0">
      <sharedItems/>
    </cacheField>
    <cacheField name="GST" numFmtId="0">
      <sharedItems count="367">
        <s v="GSTIN    -    06AXXXXXXXXC1ZH_x000a_Invoice Number Invoice Date IGST Paid(INR)_x000a_XXXXXXXX-18  2017-06-30  24756 "/>
        <s v="GSTIN    -    06AXXXXXXXXC1ZH_x000a_Invoice Number Invoice Date IGST Paid(INR)_x000a_XXXXXXXX-18  2017-06-30  7128 "/>
        <s v="GSTIN    -    07AXXXXXXXXM1Z2_x000a_Invoice Number Invoice Date IGST Paid(INR)_x000a_XXXXXXXXXXX-18  2017-07-04  119771 "/>
        <s v="GSTIN    -    06AXXXXXXXXJ1ZG_x000a_Invoice Number Invoice Date IGST Paid(INR)_x000a_XXXXXXXXXXX142  2017-07-24  48384 "/>
        <s v="GSTIN    -    06AXXXXXXXXH1ZO_x000a_Invoice Number Invoice Date IGST Paid(INR)_x000a_XXXXXXXXXXXX-18  2017-07-17  149412 "/>
        <s v="GSTIN    -    09AXXXXXXXXC1Z4_x000a_Invoice Number Invoice Date IGST Paid(INR)_x000a_XXXXXXXXXXXXXX-18  2017-07-13  433793 "/>
        <s v="GSTIN    -    06AXXXXXXXXL1ZE_x000a_Invoice Number Invoice Date IGST Paid(INR)_x000a_XXXXX/16  2017-07-27  145084 "/>
        <s v="GSTIN    -    06AXXXXXXXXH2ZJ_x000a_Invoice Number Invoice Date IGST Paid(INR)_x000a_XXXXXXXXX/18  2017-07-18  26869 "/>
        <s v="GSTIN    -    06AXXXXXXXXH1ZO_x000a_Invoice Number Invoice Date IGST Paid(INR)_x000a_XXXXXXXXXXXX-18  2017-07-25  79964 "/>
        <s v="GSTIN    -    06AXXXXXXXXH1ZO_x000a_Invoice Number Invoice Date IGST Paid(INR)_x000a_XXXXXXXXXXXX-18  2017-07-25  690600 "/>
        <s v="GSTIN    -    06AXXXXXXXXH1ZO_x000a_Invoice Number Invoice Date IGST Paid(INR)_x000a_XXXXXXXXXXXX-18  2017-07-25  1437149 "/>
        <s v="GSTIN    -    07DXXXXXXXXB1ZH_x000a_Invoice Number Invoice Date IGST Paid(INR)_x000a_XXXXXXXXX/01  2017-07-24  354254 "/>
        <s v="GSTIN    -    06AXXXXXXXXK1ZT_x000a_Invoice Number Invoice Date IGST Paid(INR)_x000a_XXXXXXXXXXXX002  2017-07-24  129600 "/>
        <s v="GSTIN    -    06AXXXXXXXXK1Z7_x000a_Invoice Number Invoice Date IGST Paid(INR)_x000a_006  2017-07-27  647383 "/>
        <s v="GSTIN    -    06AXXXXXXXXQ1ZC_x000a_Invoice Number Invoice Date IGST Paid(INR)_x000a_XXXXXXXXXXX/09  2017-07-29  249841 "/>
        <s v="GSTIN    -    09AXXXXXXXXC2Z0_x000a_Invoice Number Invoice Date IGST Paid(INR)_x000a_XXXXXXXXXXXXXX7-1  2017-07-10  53663 "/>
        <s v="GSTIN    -    07AXXXXXXXXE1Z5_x000a_Invoice Number Invoice Date IGST Paid(INR)_x000a_681  2017-07-22  78589 "/>
        <s v="GSTIN    -    08AXXXXXXXXR1ZR_x000a_Invoice Number Invoice Date IGST Paid(INR)_x000a_XXXXXXXXXXXXXX078  2017-07-24  1961181 "/>
        <s v="GSTIN    -    07AXXXXXXXXQ1ZK_x000a_Invoice Number Invoice Date IGST Paid(INR)_x000a_X/26  2017-07-31  35661 "/>
        <s v="GSTIN    -    06AXXXXXXXXG1ZX_x000a_Invoice Number Invoice Date IGST Paid(INR)_x000a_XXXXXXXXXXXXXX001  2017-07-28  14574 "/>
        <s v="GSTIN    -    07AXXXXXXXXF1Z8_x000a_Invoice Number Invoice Date IGST Paid(INR)_x000a_XXXXXX001  2017-08-01  167681 "/>
        <s v="GSTIN    -    09AXXXXXXXXK2ZT_x000a_Invoice Number Invoice Date IGST Paid(INR)_x000a_37  2017-07-31  25718 "/>
        <s v="GSTIN    -    07AXXXXXXXXM1ZP_x000a_Invoice Number Invoice Date IGST Paid(INR)_x000a_XXXX265  2017-08-01  16847 "/>
        <s v="GSTIN    -    07AXXXXXXXXL1ZI_x000a_Invoice Number Invoice Date IGST Paid(INR)_x000a_XXXXXXX017  2017-07-03  66431 "/>
        <s v="GSTIN    -    09AXXXXXXXXC1Z4_x000a_Invoice Number Invoice Date IGST Paid(INR)_x000a_XXXXXXXXXXXXXX-18  2017-07-15  310271 "/>
        <s v="GSTIN    -    09AXXXXXXXXC1Z4_x000a_Invoice Number Invoice Date IGST Paid(INR)_x000a_XXXXXXXXXXXXXX-18  2017-07-15  436205 "/>
        <s v="GSTIN    -    09AXXXXXXXXC1ZR_x000a_Invoice Number Invoice Date IGST Paid(INR)_x000a_62  2017-07-31  293987 "/>
        <s v="GSTIN    -    07AXXXXXXXXA1ZA_x000a_Invoice Number Invoice Date IGST Paid(INR)_x000a_XXXXXXXXXX-18  2017-07-25  5502 "/>
        <s v="GSTIN    -    08AXXXXXXXXR1Z1_x000a_Invoice Number Invoice Date IGST Paid(INR)_x000a_XXXXXXXXXXXXXX008  2017-07-31  112585 "/>
        <s v="GSTIN    -    07AXXXXXXXXR1ZH_x000a_Invoice Number Invoice Date IGST Paid(INR)_x000a_XXXXXXXXXX018  2017-07-27  135238 "/>
        <s v="GSTIN    -    06AXXXXXXXXR2ZO_x000a_Invoice Number Invoice Date IGST Paid(INR)_x000a_XXXXXXXXXXXXX/17  2017-08-01  53596 "/>
        <s v="GSTIN    -    07AXXXXXXXXK1ZB_x000a_Invoice Number Invoice Date IGST Paid(INR)_x000a_XXXXXXXXXX-18  2017-08-03  28865 "/>
        <s v="GSTIN    -    06AXXXXXXXXE4ZU_x000a_Invoice Number Invoice Date IGST Paid(INR)_x000a_XXXXXXXXXXXXXX-18  2017-08-01  3268108 "/>
        <s v="GSTIN    -    07AXXXXXXXXE1ZF_x000a_Invoice Number Invoice Date IGST Paid(INR)_x000a_XXX006  2017-07-29  28099 "/>
        <s v="GSTIN    -    06AXXXXXXXXA1Z5_x000a_Invoice Number Invoice Date IGST Paid(INR)_x000a_XXXXXXX-18  2017-07-11  49321 "/>
        <s v="GSTIN    -    07AXXXXXXXXL1ZH_x000a_Invoice Number Invoice Date IGST Paid(INR)_x000a_006  2017-08-03  71889 "/>
        <s v="GSTIN    -    07AXXXXXXXXA1ZL_x000a_Invoice Number Invoice Date IGST Paid(INR)_x000a_53  2017-07-31  141585 "/>
        <s v="GSTIN    -    09AXXXXXXXXF1ZI_x000a_Invoice Number Invoice Date IGST Paid(INR)_x000a_XXXXX000  2017-07-28  10105 "/>
        <s v="GSTIN    -    06AXXXXXXXXE4ZU_x000a_Invoice Number Invoice Date IGST Paid(INR)_x000a_XXXXXXXXXXXXXX-18  2017-08-01  74016 "/>
        <s v="GSTIN    -    07AXXXXXXXXH1ZR_x000a_Invoice Number Invoice Date IGST Paid(INR)_x000a_XXXXXXXXXXX002  2017-08-05  604113 "/>
        <s v="GSTIN    -    07AXXXXXXXXG1ZH_x000a_Invoice Number Invoice Date IGST Paid(INR)_x000a_007  2017-08-01  160973 "/>
        <s v="GSTIN    -    07AXXXXXXXXR1ZM_x000a_Invoice Number Invoice Date IGST Paid(INR)_x000a_X105  2017-08-01  8292 "/>
        <s v="GSTIN    -    07AXXXXXXXXG1ZP_x000a_Invoice Number Invoice Date IGST Paid(INR)_x000a_X189  2017-08-07  199238 _x000a_X190  2017-08-07  14244 "/>
        <s v="GSTIN    -    06AXXXXXXXXJ1ZI_x000a_Invoice Number Invoice Date IGST Paid(INR)_x000a_XXXXXXXXXXXX018  2017-08-08  88693 "/>
        <s v="GSTIN    -    07AXXXXXXXXF1Z6_x000a_Invoice Number Invoice Date IGST Paid(INR)_x000a_XXXX613  2017-08-02  105585 "/>
        <s v="GSTIN    -    07AXXXXXXXXR1ZF_x000a_Invoice Number Invoice Date IGST Paid(INR)_x000a_XXXXXXXXXXX010  2017-07-31  35910 "/>
        <s v="GSTIN    -    03AXXXXXXXXL1Z0_x000a_Invoice Number Invoice Date IGST Paid(INR)_x000a_XXXX736  2017-08-09  111367 "/>
        <s v="GSTIN    -    07AXXXXXXXXC1Z8_x000a_Invoice Number Invoice Date IGST Paid(INR)_x000a_XXX-75  2017-08-08  784898 "/>
        <s v="GSTIN    -    06AXXXXXXXXR1ZC_x000a_Invoice Number Invoice Date IGST Paid(INR)_x000a_XXX/01  2017-07-28  187353 "/>
        <s v="GSTIN    -    06AXXXXXXXXF1Z5_x000a_Invoice Number Invoice Date IGST Paid(INR)_x000a_XXXXXXXXXXXXX040  2017-08-09  30806 "/>
        <s v="GSTIN    -    06AXXXXXXXXR2ZO_x000a_Invoice Number Invoice Date IGST Paid(INR)_x000a_XXXXXXXXXXXXX/17  2017-08-10  53047 "/>
        <s v="GSTIN    -    07AXXXXXXXXH1ZD_x000a_Invoice Number Invoice Date IGST Paid(INR)_x000a_XXXXXXXXXXXXX-18  2017-08-09  179147 "/>
        <s v="GSTIN    -    07AXXXXXXXXA1Z1_x000a_Invoice Number Invoice Date IGST Paid(INR)_x000a_XXXXXXXXXXXXXX-18  2017-08-10  70173 "/>
        <s v="GSTIN    -    07AXXXXXXXXP1Z3_x000a_Invoice Number Invoice Date IGST Paid(INR)_x000a_XXXXXXX006  2017-08-08  32141 "/>
        <s v="GSTIN    -    07AXXXXXXXXD1ZA_x000a_Invoice Number Invoice Date IGST Paid(INR)_x000a_XXXX008  2017-08-08  53730 "/>
        <s v="GSTIN    -    06AXXXXXXXXR2ZO_x000a_Invoice Number Invoice Date IGST Paid(INR)_x000a_XXXXXXXXXXXXX/17  2017-08-11  53047 "/>
        <s v="GSTIN    -    07AXXXXXXXXM1Z2_x000a_Invoice Number Invoice Date IGST Paid(INR)_x000a_35  2017-08-04  44565 "/>
        <s v="GSTIN    -    09AXXXXXXXXE1ZL_x000a_Invoice Number Invoice Date IGST Paid(INR)_x000a_XXXXXXXX020  2017-08-08  280688 "/>
        <s v="GSTIN    -    27AXXXXXXXXN1Z4_x000a_Invoice Number Invoice Date IGST Paid(INR)_x000a_XXXXX042  2017-08-09  5030 "/>
        <s v="GSTIN    -    07AXXXXXXXXE1ZF_x000a_Invoice Number Invoice Date IGST Paid(INR)_x000a_XXXXXXXX017  2017-08-08  27598 "/>
        <s v="GSTIN    -    07AXXXXXXXXP1Z5_x000a_Invoice Number Invoice Date IGST Paid(INR)_x000a_XXXXXXXXXXX/17  2017-08-10  45056 "/>
        <s v="GSTIN    -    07BXXXXXXXXH1ZS_x000a_Invoice Number Invoice Date IGST Paid(INR)_x000a_XXXXXXXXXXXXXX004  2017-08-10  96798 "/>
        <s v="GSTIN    -    07AXXXXXXXXH1Z4_x000a_Invoice Number Invoice Date IGST Paid(INR)_x000a_XXXX002  2017-08-02  28671 "/>
        <s v="GSTIN    -    07AXXXXXXXXF2ZV_x000a_Invoice Number Invoice Date IGST Paid(INR)_x000a_XXXXXXXXXXXXXXX06  2017-08-10  67373 "/>
        <s v="GSTIN    -    07AXXXXXXXXK1ZB_x000a_Invoice Number Invoice Date IGST Paid(INR)_x000a_XXXXXXXXX-18  2017-08-16  6059 "/>
        <s v="GSTIN    -    06AXXXXXXXXK1ZT_x000a_Invoice Number Invoice Date IGST Paid(INR)_x000a_XXXXXXXXXXXXXX502  2017-08-11  127960 "/>
        <s v="GSTIN    -    07AXXXXXXXXK1ZB_x000a_Invoice Number Invoice Date IGST Paid(INR)_x000a_XXXXXXXXX-18  2017-08-17  23380 "/>
        <s v="GSTIN    -    07AXXXXXXXXA1ZV_x000a_Invoice Number Invoice Date IGST Paid(INR)_x000a_XXXX082  2017-07-31  14173 "/>
        <s v="GSTIN    -    09AXXXXXXXXG1ZF_x000a_Invoice Number Invoice Date IGST Paid(INR)_x000a_XXXXXXXXXXXXXX004  2017-08-17  31224 "/>
        <s v="GSTIN    -    07AXXXXXXXXA1ZN_x000a_Invoice Number Invoice Date IGST Paid(INR)_x000a_XXXXXX-18  2017-08-01  38967 "/>
        <s v="GSTIN    -    07AXXXXXXXXJ1ZV_x000a_Invoice Number Invoice Date IGST Paid(INR)_x000a_XXXXXXXXXXXXXX/17  2017-08-12  45043 "/>
        <s v="GSTIN    -    09AXXXXXXXXJ1Z6_x000a_Invoice Number Invoice Date IGST Paid(INR)_x000a_XXXXXXXXXXX018  2017-08-10  243149 "/>
        <s v="GSTIN    -    07AXXXXXXXXG1ZH_x000a_Invoice Number Invoice Date IGST Paid(INR)_x000a_XXXXXXX/17  2017-08-16  67654 "/>
        <s v="GSTIN    -    06AXXXXXXXXM1ZZ_x000a_Invoice Number Invoice Date IGST Paid(INR)_x000a_043  2017-08-10  14655 "/>
        <s v="GSTIN    -    06AXXXXXXXXR1ZB_x000a_Invoice Number Invoice Date IGST Paid(INR)_x000a_05  2017-08-05  265896 "/>
        <s v="GSTIN    -    07AXXXXXXXXF1Z0_x000a_Invoice Number Invoice Date IGST Paid(INR)_x000a_XXXXXXXXX-18  2017-08-18  62986 "/>
        <s v="GSTIN    -    09AXXXXXXXXP2ZF_x000a_Invoice Number Invoice Date IGST Paid(INR)_x000a_XXXXXXXXX/16  2017-08-17  54751 "/>
        <s v="GSTIN    -    06AXXXXXXXXE4ZU_x000a_Invoice Number Invoice Date IGST Paid(INR)_x000a_XXXXXXXXXXXXXX718  2017-08-16  53456 "/>
        <s v="GSTIN    -    06AXXXXXXXXN1Z9_x000a_Invoice Number Invoice Date IGST Paid(INR)_x000a_XXXXXXXX-18  2017-08-21  43227 "/>
        <s v="GSTIN    -    06AXXXXXXXXQ1ZQ_x000a_Invoice Number Invoice Date IGST Paid(INR)_x000a_XXXXXXXXXXXX003  2017-08-18  285450 "/>
        <s v="GSTIN    -    06AXXXXXXXXQ1ZQ_x000a_Invoice Number Invoice Date IGST Paid(INR)_x000a_XXXXXXXXXXXX004  2017-08-18  139269 "/>
        <s v="GSTIN    -    07AXXXXXXXXB1ZR_x000a_Invoice Number Invoice Date IGST Paid(INR)_x000a_XXXXXXXXX-18  2017-08-12  371424 "/>
        <s v="GSTIN    -    07AXXXXXXXXB1ZR_x000a_Invoice Number Invoice Date IGST Paid(INR)_x000a_XXXXXXXXX-18  2017-08-19  152387 "/>
        <s v="GSTIN    -    06AXXXXXXXXJ2ZR_x000a_Invoice Number Invoice Date IGST Paid(INR)_x000a_XXXXX-18  2017-08-21  45511 "/>
        <s v="GSTIN    -    27AXXXXXXXXR1ZF_x000a_Invoice Number Invoice Date IGST Paid(INR)_x000a_XXXXXXXXXXXX-18  2017-08-07  19042 "/>
        <s v="GSTIN    -    06AXXXXXXXXD1ZM_x000a_Invoice Number Invoice Date IGST Paid(INR)_x000a_XXX-02  2017-08-22  54305 "/>
        <s v="GSTIN    -    06AXXXXXXXXJ1ZG_x000a_Invoice Number Invoice Date IGST Paid(INR)_x000a_XXXXXXXXXX177  2017-08-22  190911 "/>
        <s v="GSTIN    -    07AXXXXXXXXB1ZS_x000a_Invoice Number Invoice Date IGST Paid(INR)_x000a_XXXXXXX017  2017-08-10  81770 "/>
        <s v="GSTIN    -    06AXXXXXXXXC1ZF_x000a_Invoice Number Invoice Date IGST Paid(INR)_x000a_960  2017-08-22  471225 "/>
        <s v="GSTIN    -    07AXXXXXXXXK1ZW_x000a_Invoice Number Invoice Date IGST Paid(INR)_x000a_XXXXXXXXXXXX-36  2017-08-21  4344 "/>
        <s v="GSTIN    -    07AXXXXXXXXC1Z8_x000a_Invoice Number Invoice Date IGST Paid(INR)_x000a_XXI65  2017-08-03  3897 "/>
        <s v="GSTIN    -    07AXXXXXXXXP1ZU_x000a_Invoice Number Invoice Date IGST Paid(INR)_x000a_XXXXXXXXXXX-18  2017-08-23  1499760 "/>
        <s v="GSTIN    -    07AXXXXXXXXB1ZP_x000a_Invoice Number Invoice Date IGST Paid(INR)_x000a_XXXXXX/17  2017-01-08  251223 "/>
        <s v="GSTIN    -    07AXXXXXXXXK1ZY_x000a_Invoice Number Invoice Date IGST Paid(INR)_x000a_XXXXXXXX018  2017-08-16  42581 "/>
        <s v="GSTIN    -    07AXXXXXXXXP3ZI_x000a_Invoice Number Invoice Date IGST Paid(INR)_x000a_XXXXXXXXXXXXXX-18  2017-07-25  17522 "/>
        <s v="GSTIN    -    09AXXXXXXXXC1ZH_x000a_Invoice Number Invoice Date IGST Paid(INR)_x000a_047  2017-08-21  75492 "/>
        <s v="GSTIN    -    07AXXXXXXXXL1ZD_x000a_Invoice Number Invoice Date IGST Paid(INR)_x000a_XXXXXXXXX017  2017-06-28  240204 "/>
        <s v="GSTIN    -    07AXXXXXXXXA1Z5_x000a_Invoice Number Invoice Date IGST Paid(INR)_x000a_XXXXXXXXXXXXX018  2017-08-22  342972 "/>
        <s v="GSTIN    -    07AXXXXXXXXA1Z5_x000a_Invoice Number Invoice Date IGST Paid(INR)_x000a_XXXXXXXXXXXXX018  2017-08-23  334701 "/>
        <s v="GSTIN    -    07AXXXXXXXXA1Z5_x000a_Invoice Number Invoice Date IGST Paid(INR)_x000a_XXXXXXXXXXXXX018  2017-08-23  312107 "/>
        <s v="GSTIN    -    07AXXXXXXXXC1ZP_x000a_Invoice Number Invoice Date IGST Paid(INR)_x000a_XXXXXXXXXXXXXX003  2017-08-24  130572 "/>
        <s v="GSTIN    -    08AXXXXXXXXR1Z1_x000a_Invoice Number Invoice Date IGST Paid(INR)_x000a_XXXXXXXXXXXXXX010  2017-08-25  112496 "/>
        <s v="GSTIN    -    06AXXXXXXXXE1ZX_x000a_Invoice Number Invoice Date IGST Paid(INR)_x000a_XXXXXXXXXXXXXX-18  2017-08-25  226605 "/>
        <s v="GSTIN    -    07AXXXXXXXXA1Z9_x000a_Invoice Number Invoice Date IGST Paid(INR)_x000a_XXXXXXXXXXXXX-18  2017-08-28  287808 "/>
        <s v="GSTIN    -    07AXXXXXXXXG1Z3_x000a_Invoice Number Invoice Date IGST Paid(INR)_x000a_XXXXXXXXXXXXX018  2017-08-28  345370 "/>
        <s v="GSTIN    -    09AXXXXXXXXG1Z5_x000a_Invoice Number Invoice Date IGST Paid(INR)_x000a_XXXXX931  2017-08-26  1880086 "/>
        <s v="GSTIN    -    09AXXXXXXXXJ1Z6_x000a_Invoice Number Invoice Date IGST Paid(INR)_x000a_XXXXXXXXXXX018  2017-08-26  306522 "/>
        <s v="GSTIN    -    06AXXXXXXXXK1ZV_x000a_Invoice Number Invoice Date IGST Paid(INR)_x000a_XXXXXXXXXX070  2017-08-23  40091 _x000a_XXXXXXXXXX071  2017-08-23  54341 "/>
        <s v="GSTIN    -    24AXXXXXXXXA1ZY_x000a_Invoice Number Invoice Date IGST Paid(INR)_x000a_23  2017-08-28  17510 "/>
        <s v="GSTIN    -    06AXXXXXXXXH1ZU_x000a_Invoice Number Invoice Date IGST Paid(INR)_x000a_XXXXXXXXXX-18  2017-08-29  129559 "/>
        <s v="GSTIN    -    08AXXXXXXXXR1ZR_x000a_Invoice Number Invoice Date IGST Paid(INR)_x000a_XXXXXXXXXXXXX113  2017-08-28  390656 "/>
        <s v="GSTIN    -    07AXXXXXXXXH1ZZ_x000a_Invoice Number Invoice Date IGST Paid(INR)_x000a_XXXXXXXX154  2017-08-11  12420 "/>
        <s v="GSTIN    -    06AXXXXXXXXE4ZU_x000a_Invoice Number Invoice Date IGST Paid(INR)_x000a_XXXXXXXXXXXXXX-18  2017-08-26  543895 "/>
        <s v="GSTIN    -    07AXXXXXXXXK1Z3_x000a_Invoice Number Invoice Date IGST Paid(INR)_x000a_XXXXXXX010  2017-08-30  122178 "/>
        <s v="GSTIN    -    07AXXXXXXXXB1ZR_x000a_Invoice Number Invoice Date IGST Paid(INR)_x000a_XXXXXXXXX/18  2017-08-30  925056 "/>
        <s v="GSTIN    -    07AXXXXXXXXP3ZI_x000a_Invoice Number Invoice Date IGST Paid(INR)_x000a_XXXXXXXXXXXXXX-18  2017-08-10  7809 "/>
        <s v="GSTIN    -    09AXXXXXXXXD2Z7_x000a_Invoice Number Invoice Date IGST Paid(INR)_x000a_XXXXXXXX-18  2017-08-08  2073 "/>
        <s v="GSTIN    -    07AXXXXXXXXL1ZB_x000a_Invoice Number Invoice Date IGST Paid(INR)_x000a_XXXXXXXXXXX017  2017-08-28  213152 "/>
        <s v="GSTIN    -    07AXXXXXXXXD1ZG_x000a_Invoice Number Invoice Date IGST Paid(INR)_x000a_XXXXXXXXXX/18  2017-08-25  23374 "/>
        <s v="GSTIN    -    08AXXXXXXXXR1ZR_x000a_Invoice Number Invoice Date IGST Paid(INR)_x000a_XXXXXXXXXXXXXX115  2017-08-30  3925803 "/>
        <s v="GSTIN    -    06AXXXXXXXXQ1ZK_x000a_Invoice Number Invoice Date IGST Paid(INR)_x000a_XXXX868  2017-08-21  33918 "/>
        <s v="GSTIN    -    07AXXXXXXXXF1Z0_x000a_Invoice Number Invoice Date IGST Paid(INR)_x000a_XXXXXXXXX-18  2017-09-01  103520 "/>
        <s v="GSTIN    -    27AXXXXXXXXE1ZE_x000a_Invoice Number Invoice Date IGST Paid(INR)_x000a_XXXXXXXX-18  2017-08-24  303975 "/>
        <s v="GSTIN    -    07AXXXXXXXXB1ZS_x000a_Invoice Number Invoice Date IGST Paid(INR)_x000a_XXXXXXX017  2017-08-31  96678 "/>
        <s v="GSTIN    -    08AXXXXXXXXF1ZL_x000a_Invoice Number Invoice Date IGST Paid(INR)_x000a_XXXXXXX-18  2017-08-29  72207 "/>
        <s v="GSTIN    -    07AXXXXXXXXA1Z5_x000a_Invoice Number Invoice Date IGST Paid(INR)_x000a_XXXXXXXXXXXXX018  2017-09-04  345370 "/>
        <s v="GSTIN    -    07AXXXXXXXXD1ZS_x000a_Invoice Number Invoice Date IGST Paid(INR)_x000a_XXXXXXXXXXXXX018  2017-09-04  342492 "/>
        <s v="GSTIN    -    09BXXXXXXXXJ1ZL_x000a_Invoice Number Invoice Date IGST Paid(INR)_x000a_XXXXXXXXX018  2017-08-28  15226 "/>
        <s v="GSTIN    -    07BXXXXXXXXB1Z1_x000a_Invoice Number Invoice Date IGST Paid(INR)_x000a_XXXXXXXXXXXXXX-18  2017-09-01  55614 "/>
        <s v="GSTIN    -    07AXXXXXXXXB1ZM_x000a_Invoice Number Invoice Date IGST Paid(INR)_x000a_XXXXXXXXXX/05  2017-09-05  50021 "/>
        <s v="GSTIN    -    06AXXXXXXXXE4ZU_x000a_Invoice Number Invoice Date IGST Paid(INR)_x000a_XXXXXXXXXXXXXX017  2017-08-29  659169 "/>
        <s v="GSTIN    -    07AXXXXXXXXN1ZK_x000a_Invoice Number Invoice Date IGST Paid(INR)_x000a_XXXXXXXXXXXXXX-18  2017-09-04  145607 "/>
        <s v="GSTIN    -    06AXXXXXXXXJ1ZG_x000a_Invoice Number Invoice Date IGST Paid(INR)_x000a_XXXX009  2017-08-28  115686 "/>
        <s v="GSTIN    -    09AXXXXXXXXP2ZF_x000a_Invoice Number Invoice Date IGST Paid(INR)_x000a_XXXXXXXXX/17  2017-08-26  36232 "/>
        <s v="GSTIN    -    09AXXXXXXXXJ1Z6_x000a_Invoice Number Invoice Date IGST Paid(INR)_x000a_XXXXXXXXXXX018  2017-09-04  146655 "/>
        <s v="GSTIN    -    09AXXXXXXXXA1ZJ_x000a_Invoice Number Invoice Date IGST Paid(INR)_x000a_XXXXXXXXXXXXXX8/2  2017-08-10  96485 "/>
        <s v="GSTIN    -    09AXXXXXXXXB1ZS_x000a_Invoice Number Invoice Date IGST Paid(INR)_x000a_XXXXXXXXXXX-18  2017-08-28  13952 "/>
        <s v="GSTIN    -    07AXXXXXXXXP1ZN_x000a_Invoice Number Invoice Date IGST Paid(INR)_x000a_XXXXXXXXXXX-18  2017-09-06  196598 "/>
        <s v="GSTIN    -    06AXXXXXXXXN1ZC_x000a_Invoice Number Invoice Date IGST Paid(INR)_x000a_XXXXXXXX005  2017-09-06  20576 "/>
        <s v="GSTIN    -    03AXXXXXXXXP1ZK_x000a_Invoice Number Invoice Date IGST Paid(INR)_x000a_XE/2  2017-09-06  42767 "/>
        <s v="GSTIN    -    06AXXXXXXXXR1ZU_x000a_Invoice Number Invoice Date IGST Paid(INR)_x000a_XXXXXXXXXXXXXX-18  2017-09-06  126045 "/>
        <s v="GSTIN    -    09AXXXXXXXXP1ZN_x000a_Invoice Number Invoice Date IGST Paid(INR)_x000a_XX/04  2017-09-08  41022 "/>
        <s v="GSTIN    -    27AXXXXXXXXR1ZF_x000a_Invoice Number Invoice Date IGST Paid(INR)_x000a_XXXXXXXXXXXX-18  2017-09-04  8950 "/>
        <s v="GSTIN    -    06AXXXXXXXXM1ZZ_x000a_Invoice Number Invoice Date IGST Paid(INR)_x000a_045  2017-08-17  168843 "/>
        <s v="GSTIN    -    07AXXXXXXXXM1ZZ_x000a_Invoice Number Invoice Date IGST Paid(INR)_x000a_XXXXXXXXXXXXXX-18  2017-09-04  53296 "/>
        <s v="GSTIN    -    06AXXXXXXXXR2ZO_x000a_Invoice Number Invoice Date IGST Paid(INR)_x000a_XXXXXXXXXXXXXXP80  2017-09-11  106770 "/>
        <s v="GSTIN    -    07AXXXXXXXXB1ZM_x000a_Invoice Number Invoice Date IGST Paid(INR)_x000a_XXXXXXXXXX/06  2017-09-11  24505 "/>
        <s v="GSTIN    -    07AXXXXXXXXK1ZF_x000a_Invoice Number Invoice Date IGST Paid(INR)_x000a_10  2017-09-11  120960 "/>
        <s v="GSTIN    -    08AXXXXXXXXR1ZP_x000a_Invoice Number Invoice Date IGST Paid(INR)_x000a_XXXXXX-24  2017-09-05  322355 "/>
        <s v="GSTIN    -    07AXXXXXXXXC1ZB_x000a_Invoice Number Invoice Date IGST Paid(INR)_x000a_XXXXXXXXXXXRTS  2017-09-06  28364 "/>
        <s v="GSTIN    -    09AXXXXXXXXA1Z8_x000a_Invoice Number Invoice Date IGST Paid(INR)_x000a_02  2017-09-11  20794 "/>
        <s v="GSTIN    -    06AXXXXXXXXD1Z8_x000a_Invoice Number Invoice Date IGST Paid(INR)_x000a_XXXXXXXXXXXXXX030  2017-09-11  341891 "/>
        <s v="GSTIN    -    07AXXXXXXXXC1ZV_x000a_Invoice Number Invoice Date IGST Paid(INR)_x000a_XXXXXXXXXXXXX018  2017-09-11  315592 "/>
        <s v="GSTIN    -    07AXXXXXXXXC1ZV_x000a_Invoice Number Invoice Date IGST Paid(INR)_x000a_XXXXXXXXXXXXX018  2017-09-11  305072 "/>
        <s v="GSTIN    -    07AXXXXXXXXB1ZR_x000a_Invoice Number Invoice Date IGST Paid(INR)_x000a_XXXXXXXXX-18  2017-09-12  946804 "/>
        <s v="GSTIN    -    06AXXXXXXXXB1ZW_x000a_Invoice Number Invoice Date IGST Paid(INR)_x000a_XXXXXX338  2017-09-12  5036 "/>
        <s v="GSTIN    -    07AXXXXXXXXL1ZI_x000a_Invoice Number Invoice Date IGST Paid(INR)_x000a_XXXXXXXXXXXX/33  2017-09-06  171626 "/>
        <s v="GSTIN    -    07AXXXXXXXXF1ZR_x000a_Invoice Number Invoice Date IGST Paid(INR)_x000a_XXXXXXXXXXXX057  2017-09-12  25270 "/>
        <s v="GSTIN    -    05AXXXXXXXXJ1ZY_x000a_Invoice Number Invoice Date IGST Paid(INR)_x000a_002  2017-09-12  81316 "/>
        <s v="GSTIN    -    06AXXXXXXXXG1ZF_x000a_Invoice Number Invoice Date IGST Paid(INR)_x000a_XXXX508  2017-09-11  24898 "/>
        <s v="GSTIN    -    07AXXXXXXXXR1ZX_x000a_Invoice Number Invoice Date IGST Paid(INR)_x000a_XXXXXXXX-17  2017-09-13  440882 "/>
        <s v="GSTIN    -    07AXXXXXXXXR1ZG_x000a_Invoice Number Invoice Date IGST Paid(INR)_x000a_XXXXXXXXXXXXX-18  2017-09-15  243762 "/>
        <s v="GSTIN    -    07AXXXXXXXXK1ZN_x000a_Invoice Number Invoice Date IGST Paid(INR)_x000a_XXXXXXXXXXXXXX017  2017-07-20  245896 "/>
        <s v="GSTIN    -    07AXXXXXXXXE1ZC_x000a_Invoice Number Invoice Date IGST Paid(INR)_x000a_007  2017-09-15  90209 "/>
        <s v="GSTIN    -    07AXXXXXXXXQ1ZV_x000a_Invoice Number Invoice Date IGST Paid(INR)_x000a_XXXXXXXX017  2017-09-18  168374 "/>
        <s v="GSTIN    -    06BXXXXXXXXM1ZI_x000a_Invoice Number Invoice Date IGST Paid(INR)_x000a_32  2017-09-19  21793 "/>
        <s v="GSTIN    -    27AXXXXXXXXA1ZR_x000a_Invoice Number Invoice Date IGST Paid(INR)_x000a_X505  2017-09-14  43054 "/>
        <s v="GSTIN    -    06AXXXXXXXXK1ZT_x000a_Invoice Number Invoice Date IGST Paid(INR)_x000a_XXXXXXX-18  2017-09-11  57646 "/>
        <s v="GSTIN    -    07AXXXXXXXXM2ZO_x000a_Invoice Number Invoice Date IGST Paid(INR)_x000a_002  2017-09-18  35097 "/>
        <s v="GSTIN    -    03AXXXXXXXXQ1Z4_x000a_Invoice Number Invoice Date IGST Paid(INR)_x000a_XXXXXXXXX-18  2017-09-18  210622 "/>
        <s v="GSTIN    -    07BXXXXXXXXQ1Z9_x000a_Invoice Number Invoice Date IGST Paid(INR)_x000a_XXXXXXX163  2017-09-20  248932 "/>
        <s v="GSTIN    -    06AXXXXXXXXH1ZO_x000a_Invoice Number Invoice Date IGST Paid(INR)_x000a_XXXXXXXXXXXX-18  2017-09-13  114555 "/>
        <s v="GSTIN    -    26AXXXXXXXXN2Z5_x000a_Invoice Number Invoice Date IGST Paid(INR)_x000a_XXXXXXXXXXX-08  2017-08-12  66584 "/>
        <s v="GSTIN    -    07AXXXXXXXXB1ZR_x000a_Invoice Number Invoice Date IGST Paid(INR)_x000a_XXXXXXXXX-18  2017-09-20  229557 "/>
        <s v="GSTIN    -    09AXXXXXXXXP2ZF_x000a_Invoice Number Invoice Date IGST Paid(INR)_x000a_XXXXXXXXX/19  2017-09-20  33260 "/>
        <s v="GSTIN    -    07AXXXXXXXXB1ZR_x000a_Invoice Number Invoice Date IGST Paid(INR)_x000a_XXXXXXXX-18  2017-09-22  562831 "/>
        <s v="GSTIN    -    06AXXXXXXXXK1ZR_x000a_Invoice Number Invoice Date IGST Paid(INR)_x000a_XXXXXXXXXXXXXX-18  2017-09-21  56752 "/>
        <s v="GSTIN    -    06AXXXXXXXXK1ZR_x000a_Invoice Number Invoice Date IGST Paid(INR)_x000a_XXXXXXXXXXXXXX-18  2017-09-15  59806 "/>
        <s v="GSTIN    -    07AXXXXXXXXH1ZE_x000a_Invoice Number Invoice Date IGST Paid(INR)_x000a_XX-01  2017-09-25  81717 "/>
        <s v="GSTIN    -    07DXXXXXXXXB1Z5_x000a_Invoice Number Invoice Date IGST Paid(INR)_x000a_XXXXXXXXXXXX-18  2017-09-25  240648 "/>
        <s v="GSTIN    -    07DXXXXXXXXB1Z5_x000a_Invoice Number Invoice Date IGST Paid(INR)_x000a_XXXXXXXXXXXX-18  2017-09-25  248657 "/>
        <s v="GSTIN    -    07DXXXXXXXXB1Z5_x000a_Invoice Number Invoice Date IGST Paid(INR)_x000a_XXXXXXXXXXXX-18  2017-09-25  245188 "/>
        <s v="GSTIN    -    07AXXXXXXXXN1Z4_x000a_Invoice Number Invoice Date IGST Paid(INR)_x000a_XXXXXXXXXXXXX001  2017-09-12  36391 "/>
        <s v="GSTIN    -    06AXXXXXXXXQ1Z8_x000a_Invoice Number Invoice Date IGST Paid(INR)_x000a_XXXXXXXXXXX-18  2017-09-26  183793 "/>
        <s v="GSTIN    -    06AXXXXXXXXG1ZR_x000a_Invoice Number Invoice Date IGST Paid(INR)_x000a_XXXXXXX/07  2017-09-25  162289 "/>
        <s v="GSTIN    -    06AXXXXXXXXG1ZR_x000a_Invoice Number Invoice Date IGST Paid(INR)_x000a_XXXXXXX/08  2017-09-25  69552 "/>
        <s v="GSTIN    -    09AXXXXXXXXB1ZQ_x000a_Invoice Number Invoice Date IGST Paid(INR)_x000a_XXXXXXXXXXXXX/16  2017-09-23  131799 "/>
        <s v="GSTIN    -    27AXXXXXXXXR1ZF_x000a_Invoice Number Invoice Date IGST Paid(INR)_x000a_XXXXXXXXXXXX-18  2017-09-22  17820 "/>
        <s v="GSTIN    -    05AXXXXXXXXL3ZW_x000a_Invoice Number Invoice Date IGST Paid(INR)_x000a_XXXX228  2017-09-06  54545 "/>
        <s v="GSTIN    -    27AXXXXXXXXR1ZF_x000a_Invoice Number Invoice Date IGST Paid(INR)_x000a_XXXXXXXXXXXX-18  2017-09-22  70092 "/>
        <s v="GSTIN    -    27AXXXXXXXXR1ZF_x000a_Invoice Number Invoice Date IGST Paid(INR)_x000a_XXXXXXXXXXXX-18  2017-09-22  152148 "/>
        <s v="GSTIN    -    27AXXXXXXXXR1ZF_x000a_Invoice Number Invoice Date IGST Paid(INR)_x000a_XXXXXXXXXXXX-18  2017-09-19  35762 "/>
        <s v="GSTIN    -    06AXXXXXXXXM1ZZ_x000a_Invoice Number Invoice Date IGST Paid(INR)_x000a_053  2017-09-13  72054 "/>
        <s v="GSTIN    -    07AXXXXXXXXB1ZR_x000a_Invoice Number Invoice Date IGST Paid(INR)_x000a_XXXXXXXXX-18  2017-09-27  451879 "/>
        <s v="GSTIN    -    07AXXXXXXXXB1ZR_x000a_Invoice Number Invoice Date IGST Paid(INR)_x000a_XXXXXXXXX-18  2017-09-27  645045 "/>
        <s v="GSTIN    -    09BXXXXXXXXA1ZM_x000a_Invoice Number Invoice Date IGST Paid(INR)_x000a_XXXXXXXXXXXXX/17  2017-09-09  24308 _x000a_XXXXXXXXXXXXX/17  2017-09-09  22685 "/>
        <s v="GSTIN    -    07AXXXXXXXXL1ZI_x000a_Invoice Number Invoice Date IGST Paid(INR)_x000a_XXXXXXXXXXXX/34  2017-09-21  165469 "/>
        <s v="GSTIN    -    07AXXXXXXXXP2Z7_x000a_Invoice Number Invoice Date IGST Paid(INR)_x000a_XXXXXXX002  2017-10-03  165318 "/>
        <s v="GSTIN    -    06AXXXXXXXXQ1ZP_x000a_Invoice Number Invoice Date IGST Paid(INR)_x000a_XXXXXXXX/18  2017-09-28  65266 "/>
        <s v="GSTIN    -    08AXXXXXXXXM1ZV_x000a_Invoice Number Invoice Date IGST Paid(INR)_x000a_XXXXXXXXXXXXXX/18  2017-10-03  19275 "/>
        <s v="GSTIN    -    07AXXXXXXXXA1ZT_x000a_Invoice Number Invoice Date IGST Paid(INR)_x000a_XXXXXXXXXXXXXEXP  2017-10-05  214834 "/>
        <s v="GSTIN    -    09AXXXXXXXXA1Z1_x000a_Invoice Number Invoice Date IGST Paid(INR)_x000a_XXXXX4/B  2017-10-03  97398 "/>
        <s v="GSTIN    -    07AXXXXXXXXL1ZM_x000a_Invoice Number Invoice Date IGST Paid(INR)_x000a_XXXXXX/17  2017-10-04  171989 "/>
        <s v="GSTIN    -    07AXXXXXXXXJ1Z1_x000a_Invoice Number Invoice Date IGST Paid(INR)_x000a_XXXXXXXX/17  2017-10-03  9714 "/>
        <s v="GSTIN    -    06AXXXXXXXXB1ZO_x000a_Invoice Number Invoice Date IGST Paid(INR)_x000a_074  2017-10-05  57708 "/>
        <s v="GSTIN    -    07AXXXXXXXXB1ZM_x000a_Invoice Number Invoice Date IGST Paid(INR)_x000a_XXXXXXXXXX/07  2017-10-06  49303 "/>
        <s v="GSTIN    -    09AXXXXXXXXH1ZU_x000a_Invoice Number Invoice Date IGST Paid(INR)_x000a_XXXXXXXXXXXXX-18  2017-10-06  39351 "/>
        <s v="GSTIN    -    27AXXXXXXXXG1ZA_x000a_Invoice Number Invoice Date IGST Paid(INR)_x000a_XXXXXXXXXXXXX8/A  2017-10-06  40207 "/>
        <s v="GSTIN    -    07AXXXXXXXXP1Z3_x000a_Invoice Number Invoice Date IGST Paid(INR)_x000a_XXXXXXX012  2017-10-06  60167 "/>
        <s v="GSTIN    -    06AXXXXXXXXK1ZF_x000a_Invoice Number Invoice Date IGST Paid(INR)_x000a_XXXXXXXXXX-18  2017-10-06  367088 "/>
        <s v="GSTIN    -    07AXXXXXXXXL1ZH_x000a_Invoice Number Invoice Date IGST Paid(INR)_x000a_007  2017-10-07  25138 "/>
        <s v="GSTIN    -    07AXXXXXXXXK1ZE_x000a_Invoice Number Invoice Date IGST Paid(INR)_x000a_XXXXX8-A  2017-10-10  5771 "/>
        <s v="GSTIN    -    06AXXXXXXXXM1ZQ_x000a_Invoice Number Invoice Date IGST Paid(INR)_x000a_XXXXXX-18  2017-10-04  21744 "/>
        <s v="GSTIN    -    09AXXXXXXXXH1ZE_x000a_Invoice Number Invoice Date IGST Paid(INR)_x000a_XXXXXXXXXX113  2017-10-10  54671 "/>
        <s v="GSTIN    -    06AXXXXXXXXE1ZX_x000a_Invoice Number Invoice Date IGST Paid(INR)_x000a_XXXXXXXXX032  2017-10-11  195960 "/>
        <s v="GSTIN    -    06AXXXXXXXXN1Z9_x000a_Invoice Number Invoice Date IGST Paid(INR)_x000a_XXXXXXXX-18  2017-10-11  57636 "/>
        <s v="GSTIN    -    07AXXXXXXXXB1ZS_x000a_Invoice Number Invoice Date IGST Paid(INR)_x000a_XXXXXXX017  2017-10-09  87378 "/>
        <s v="GSTIN    -    20AXXXXXXXXE1ZX_x000a_Invoice Number Invoice Date IGST Paid(INR)_x000a_XXXXXXXXXXXXXX17-  2017-10-04  13503 "/>
        <s v="GSTIN    -    27AXXXXXXXXR1ZF_x000a_Invoice Number Invoice Date IGST Paid(INR)_x000a_XXXXXXXXXXXX-18  2017-10-06  63000 "/>
        <s v="GSTIN    -    06AXXXXXXXXD1ZC_x000a_Invoice Number Invoice Date IGST Paid(INR)_x000a_XXXXXXXXXX016  2017-10-16  36630 "/>
        <s v="GSTIN    -    07AXXXXXXXXE1ZT_x000a_Invoice Number Invoice Date IGST Paid(INR)_x000a_XXXXXXXXXX367  2017-10-17  833 _x000a_XXXXXXXXXX369  2017-10-17  7096 "/>
        <s v="GSTIN    -    07AXXXXXXXXK1ZR_x000a_Invoice Number Invoice Date IGST Paid(INR)_x000a_X212  2017-10-09  36249 "/>
        <s v="GSTIN    -    07AXXXXXXXXM1ZO_x000a_Invoice Number Invoice Date IGST Paid(INR)_x000a_XXXXXXXX-18  2017-10-14  89394 "/>
        <s v="GSTIN    -    09AXXXXXXXXF1ZG_x000a_Invoice Number Invoice Date IGST Paid(INR)_x000a_XXXXXXXXXXX-12  2017-10-04  34975 "/>
        <s v="GSTIN    -    07AXXXXXXXXP3ZI_x000a_Invoice Number Invoice Date IGST Paid(INR)_x000a_XXXXXXXXXXXXXX-18  2017-10-15  14927 "/>
        <s v="GSTIN    -    06AXXXXXXXXE1ZX_x000a_Invoice Number Invoice Date IGST Paid(INR)_x000a_XXXXXXXXXXXXXX/10  2017-10-23  878404 "/>
        <s v="GSTIN    -    07AXXXXXXXXK1ZW_x000a_Invoice Number Invoice Date IGST Paid(INR)_x000a_XXXXXXXXXXXXX146  2017-10-25  3925 "/>
        <s v="GSTIN    -    09AXXXXXXXXP2ZF_x000a_Invoice Number Invoice Date IGST Paid(INR)_x000a_XXXXXXXXX/22  2017-10-17  4296 "/>
        <s v="GSTIN    -    09AXXXXXXXXR1ZJ_x000a_Invoice Number Invoice Date IGST Paid(INR)_x000a_XXXXXXXXXXXXX001  2017-10-25  956079 "/>
        <s v="GSTIN    -    07AXXXXXXXXQ1ZX_x000a_Invoice Number Invoice Date IGST Paid(INR)_x000a_XXXXXXXXXXX-18  2017-09-25  29163 "/>
        <s v="GSTIN    -    06AXXXXXXXXE4ZU_x000a_Invoice Number Invoice Date IGST Paid(INR)_x000a_XXXXXXXXXXXXXX17-  2017-09-28  54045 "/>
        <s v="GSTIN    -    06AXXXXXXXXK1ZR_x000a_Invoice Number Invoice Date IGST Paid(INR)_x000a_XXXXXXXXXX718  2017-10-24  45882 "/>
        <s v="GSTIN    -    06AXXXXXXXXD1Z2_x000a_Invoice Number Invoice Date IGST Paid(INR)_x000a_XXXXXXXXXX263  2017-09-28  59984 "/>
        <s v="GSTIN    -    06AXXXXXXXXR1ZC_x000a_Invoice Number Invoice Date IGST Paid(INR)_x000a_XXX/02  2017-10-20  175500 "/>
        <s v="GSTIN    -    06AXXXXXXXXJ2ZR_x000a_Invoice Number Invoice Date IGST Paid(INR)_x000a_XXXXX-18  2017-09-20  45511 "/>
        <s v="GSTIN    -    27AXXXXXXXXR1ZF_x000a_Invoice Number Invoice Date IGST Paid(INR)_x000a_XXXXXXXXXXXXXX-18  2017-10-26  168000 "/>
        <s v="GSTIN    -    07AXXXXXXXXL1Z8_x000a_Invoice Number Invoice Date IGST Paid(INR)_x000a_XXXXXXXX001  2017-10-27  10914 "/>
        <s v="GSTIN    -    07AXXXXXXXXF1Z3_x000a_Invoice Number Invoice Date IGST Paid(INR)_x000a_XXXXXXXXX066  2017-10-10  35768 "/>
        <s v="GSTIN    -    07AXXXXXXXXF1Z3_x000a_Invoice Number Invoice Date IGST Paid(INR)_x000a_XXXXXXXXX068  2017-10-30  39496 "/>
        <s v="GSTIN    -    06AXXXXXXXXD1ZM_x000a_Invoice Number Invoice Date IGST Paid(INR)_x000a_XXXXXX/11  2017-10-27  61871 "/>
        <s v="GSTIN    -    06AXXXXXXXXK1ZR_x000a_Invoice Number Invoice Date IGST Paid(INR)_x000a_XXXXXXXXXX718  2017-11-02  17288 "/>
        <s v="GSTIN    -    19AXXXXXXXXC1ZW_x000a_Invoice Number Invoice Date IGST Paid(INR)_x000a_XXXXXXXXXXXX017  2017-10-31  194792 "/>
        <s v="GSTIN    -    03AXXXXXXXXN2Z7_x000a_Invoice Number Invoice Date IGST Paid(INR)_x000a_04  2017-11-02  198470 "/>
        <s v="GSTIN    -    06AXXXXXXXXC1ZC_x000a_Invoice Number Invoice Date IGST Paid(INR)_x000a_1  2017-10-26  25511 "/>
        <s v="GSTIN    -    06AXXXXXXXXD1Z0_x000a_Invoice Number Invoice Date IGST Paid(INR)_x000a_XXXXXXXXXXX-18  2017-11-02  22038 "/>
        <s v="GSTIN    -    07AXXXXXXXXH1Z8_x000a_Invoice Number Invoice Date IGST Paid(INR)_x000a_XXXXXXXX017  2017-11-06  92965 "/>
        <s v="GSTIN    -    06AXXXXXXXXN1ZN_x000a_Invoice Number Invoice Date IGST Paid(INR)_x000a_008  2017-10-28  251421 "/>
        <s v="GSTIN    -    09AXXXXXXXXJ1Z6_x000a_Invoice Number Invoice Date IGST Paid(INR)_x000a_XXXXXXXXXXX018  2017-11-06  251970 "/>
        <s v="GSTIN    -    07AXXXXXXXXN2Z8_x000a_Invoice Number Invoice Date IGST Paid(INR)_x000a_XXXXXX-18  2017-11-04  1073135 "/>
        <s v="GSTIN    -    09AXXXXXXXXF1ZF_x000a_Invoice Number Invoice Date IGST Paid(INR)_x000a_XXXXXXXXXXX-18  2017-10-24  483215 "/>
        <s v="GSTIN    -    07AXXXXXXXXD1Z2_x000a_Invoice Number Invoice Date IGST Paid(INR)_x000a_XXX004  2017-10-25  96124 "/>
        <s v="GSTIN    -    07AXXXXXXXXF1Z3_x000a_Invoice Number Invoice Date IGST Paid(INR)_x000a_XXXXXXXXX069  2017-10-11  11441 "/>
        <s v="GSTIN    -    07AXXXXXXXXH1ZA_x000a_Invoice Number Invoice Date IGST Paid(INR)_x000a_XXXXXXXXXXX-18  2017-11-03  46027 "/>
        <s v="GSTIN    -    07AXXXXXXXXP3ZI_x000a_Invoice Number Invoice Date IGST Paid(INR)_x000a_XXXXXXXXXXXXXX-18  2017-11-01  10363 "/>
        <s v="GSTIN    -    06AXXXXXXXXN1ZW_x000a_Invoice Number Invoice Date IGST Paid(INR)_x000a_XXXXXXXXXXX057  2017-11-07  30668 "/>
        <s v="GSTIN    -    07AXXXXXXXXE1ZD_x000a_Invoice Number Invoice Date IGST Paid(INR)_x000a_XXXXXXXXXXX018  2017-11-04  521924 "/>
        <s v="GSTIN    -    24AXXXXXXXXK1ZB_x000a_Invoice Number Invoice Date IGST Paid(INR)_x000a_XXXXXXXXXXXXXX-18  2017-11-15  86415 "/>
        <s v="GSTIN    -    27AXXXXXXXXG1ZA_x000a_Invoice Number Invoice Date IGST Paid(INR)_x000a_XXXXXXXXXXX-18  2017-11-11  1193 "/>
        <s v="GSTIN    -    06AXXXXXXXXF1ZQ_x000a_Invoice Number Invoice Date IGST Paid(INR)_x000a_XXXXXXXXX152  2017-11-09  8504 "/>
        <s v="GSTIN    -    06AXXXXXXXXF1ZQ_x000a_Invoice Number Invoice Date IGST Paid(INR)_x000a_XXXXXXXXX151  2017-11-09  296338 "/>
        <s v="GSTIN    -    07AXXXXXXXXP2Z7_x000a_Invoice Number Invoice Date IGST Paid(INR)_x000a_XXXXXXX003  2017-11-20  222797 "/>
        <s v="GSTIN    -    09AXXXXXXXXM1ZH_x000a_Invoice Number Invoice Date IGST Paid(INR)_x000a_002  2017-11-20  176472 "/>
        <s v="GSTIN    -    07AXXXXXXXXQ2ZD_x000a_Invoice Number Invoice Date IGST Paid(INR)_x000a_01  2017-11-21  5678 "/>
        <s v="GSTIN    -    03AXXXXXXXXJ1Z2_x000a_Invoice Number Invoice Date IGST Paid(INR)_x000a_XXXXXXXXXX018  2017-11-16  295102 "/>
        <s v="GSTIN    -    07AXXXXXXXXB1ZS_x000a_Invoice Number Invoice Date IGST Paid(INR)_x000a_XXXXXXX017  2017-10-22  99523 "/>
        <s v="GSTIN    -    07AXXXXXXXXA1ZH_x000a_Invoice Number Invoice Date IGST Paid(INR)_x000a_XXXXXXXXXXXXXX365  2017-11-02  65520 "/>
        <s v="GSTIN    -    07AXXXXXXXXP3ZI_x000a_Invoice Number Invoice Date IGST Paid(INR)_x000a_XXXXXXXXXXXXXX-18  2017-11-15  92061 "/>
        <s v="GSTIN    -    07AXXXXXXXXE1Z3_x000a_Invoice Number Invoice Date IGST Paid(INR)_x000a_XXXXXXXX-18  2017-11-14  187200 "/>
        <s v="GSTIN    -    06AXXXXXXXXG1ZC_x000a_Invoice Number Invoice Date IGST Paid(INR)_x000a_XXXXXXXXX/09  2017-11-22  13655 "/>
        <s v="GSTIN    -    06AXXXXXXXXD1Z8_x000a_Invoice Number Invoice Date IGST Paid(INR)_x000a_XXXXXXXXXXXXXX038  2017-11-22  803179 "/>
        <s v="GSTIN    -    07AXXXXXXXXA1Z1_x000a_Invoice Number Invoice Date IGST Paid(INR)_x000a_XXXXXXXXXXXXXX-18  2017-11-16  46512 "/>
        <s v="GSTIN    -    07AXXXXXXXXC1ZF_x000a_Invoice Number Invoice Date IGST Paid(INR)_x000a_X061  2017-11-22  2065 "/>
        <s v="GSTIN    -    06AXXXXXXXXE4ZU_x000a_Invoice Number Invoice Date IGST Paid(INR)_x000a_XXXXXXXXXXXXXX-18  2017-11-20  77361 "/>
        <s v="GSTIN    -    07AXXXXXXXXE1ZD_x000a_Invoice Number Invoice Date IGST Paid(INR)_x000a_XXXXXXXXXXX018  2017-11-27  226947 "/>
        <s v="GSTIN    -    07AXXXXXXXXL1Z4_x000a_Invoice Number Invoice Date IGST Paid(INR)_x000a_XXXXXXXXXXXXX425  2017-11-17  98557 "/>
        <s v="GSTIN    -    06AXXXXXXXXR2ZO_x000a_Invoice Number Invoice Date IGST Paid(INR)_x000a_XXXXXXXXXXXXX792  2017-11-28  69994 "/>
        <s v="GSTIN    -    07AXXXXXXXXN1ZH_x000a_Invoice Number Invoice Date IGST Paid(INR)_x000a_XXXXXXXXXXX-18  2017-11-15  42400 "/>
        <s v="GSTIN    -    06AXXXXXXXXE1ZC_x000a_Invoice Number Invoice Date IGST Paid(INR)_x000a_XXXXXXXXXXXXXO/1  2017-11-15  41472 "/>
        <s v="GSTIN    -    06AXXXXXXXXN1ZN_x000a_Invoice Number Invoice Date IGST Paid(INR)_x000a_010  2017-11-28  39231 "/>
        <s v="GSTIN    -    06AXXXXXXXXP1ZP_x000a_Invoice Number Invoice Date IGST Paid(INR)_x000a_XXXXXXXXXXXXXX134  2017-11-15  243493 "/>
        <s v="GSTIN    -    06AXXXXXXXXP1ZP_x000a_Invoice Number Invoice Date IGST Paid(INR)_x000a_XXXXXXXXXXXXXX133  2017-11-24  363971 "/>
        <s v="GSTIN    -    07AXXXXXXXXH1ZW_x000a_Invoice Number Invoice Date IGST Paid(INR)_x000a_XXXXXXE03  2017-11-28  112320 "/>
        <s v="GSTIN    -    06AXXXXXXXXC2Z2_x000a_Invoice Number Invoice Date IGST Paid(INR)_x000a_XXXXX025  2017-11-16  34481700 "/>
        <s v="GSTIN    -    02AXXXXXXXXR2Z6_x000a_Invoice Number Invoice Date IGST Paid(INR)_x000a_XXXXXXXXXXXXXX25/  2017-11-29  1841 "/>
        <s v="GSTIN    -    07AXXXXXXXXP3ZI_x000a_Invoice Number Invoice Date IGST Paid(INR)_x000a_XXXXXXXXXXXXXX-18  2017-11-19  10889 "/>
        <s v="GSTIN    -    07AXXXXXXXXP3ZI_x000a_Invoice Number Invoice Date IGST Paid(INR)_x000a_XXXXXXXXXXXXXX-18  2017-11-28  10369 "/>
        <s v="GSTIN    -    06AXXXXXXXXK1ZV_x000a_Invoice Number Invoice Date IGST Paid(INR)_x000a_XXXXXXXXXX216  2017-11-24  446822 "/>
        <s v="GSTIN    -    06AXXXXXXXXK1ZV_x000a_Invoice Number Invoice Date IGST Paid(INR)_x000a_XXXXXXXXXX215  2017-11-24  1787288 "/>
        <s v="GSTIN    -    07AXXXXXXXXK1Z2_x000a_Invoice Number Invoice Date IGST Paid(INR)_x000a_XXXXXXXXXX201  2017-11-25  108705 "/>
        <s v="GSTIN    -    07AXXXXXXXXF2ZV_x000a_Invoice Number Invoice Date IGST Paid(INR)_x000a_XXXXXXXXXXXXXXT36  2017-11-28  101578 "/>
        <s v="GSTIN    -    07DXXXXXXXXL1ZP_x000a_Invoice Number Invoice Date IGST Paid(INR)_x000a_XXXXXXXXXXXXXX-18  2017-11-29  64076 "/>
        <s v="GSTIN    -    07AXXXXXXXXH1ZD_x000a_Invoice Number Invoice Date IGST Paid(INR)_x000a_XXXXXXXXXXXXX018  2017-11-27  38804 "/>
        <s v="GSTIN    -    06AXXXXXXXXM1Z2_x000a_Invoice Number Invoice Date IGST Paid(INR)_x000a_XXXXXXXXX8RG  2017-11-27  6216 "/>
        <s v="GSTIN    -    06AXXXXXXXXM1Z2_x000a_Invoice Number Invoice Date IGST Paid(INR)_x000a_XXXXXXXXX8RG  2017-11-18  2327 "/>
        <s v="GSTIN    -    07AXXXXXXXXH1ZZ_x000a_Invoice Number Invoice Date IGST Paid(INR)_x000a_XXXXXXXX155  2017-11-10  86378 "/>
        <s v="GSTIN    -    06AXXXXXXXXM1Z2_x000a_Invoice Number Invoice Date IGST Paid(INR)_x000a_XXXXXXXXX8RG  2017-11-28  9066 "/>
        <s v="GSTIN    -    06AXXXXXXXXM1Z2_x000a_Invoice Number Invoice Date IGST Paid(INR)_x000a_XXXXXXXXX8RG  2017-11-29  4888 "/>
        <s v="GSTIN    -    04AXXXXXXXXF1ZC_x000a_Invoice Number Invoice Date IGST Paid(INR)_x000a_05  2017-12-02  1022 "/>
        <s v="GSTIN    -    07AXXXXXXXXB1ZS_x000a_Invoice Number Invoice Date IGST Paid(INR)_x000a_XXXXXXX017  2017-11-20  65433 "/>
        <s v="GSTIN    -    03AXXXXXXXXK1Z0_x000a_Invoice Number Invoice Date IGST Paid(INR)_x000a_665  2017-11-28  67868 "/>
        <s v="GSTIN    -    06AXXXXXXXXD1ZQ_x000a_Invoice Number Invoice Date IGST Paid(INR)_x000a_XXXXXXXXX056  2017-12-04  185491 "/>
        <s v="GSTIN    -    07AXXXXXXXXF1ZH_x000a_Invoice Number Invoice Date IGST Paid(INR)_x000a_XXXXXXXXXXXXXX7-1  2017-11-30  10297 "/>
        <s v="GSTIN    -    07AXXXXXXXXJ1Z1_x000a_Invoice Number Invoice Date IGST Paid(INR)_x000a_XXXXXXXX/17  2017-12-01  12744 "/>
        <s v="GSTIN    -    06AXXXXXXXXB1ZF_x000a_Invoice Number Invoice Date IGST Paid(INR)_x000a_108  2017-12-05  4158 "/>
        <s v="GSTIN    -    09AXXXXXXXXA1Z1_x000a_Invoice Number Invoice Date IGST Paid(INR)_x000a_XXXXX8/B  2017-11-30  274456 "/>
        <s v="GSTIN    -    07AXXXXXXXXF1ZU_x000a_Invoice Number Invoice Date IGST Paid(INR)_x000a_XXXXXXX067  2017-12-04  637916 "/>
        <s v="GSTIN    -    06AXXXXXXXXB1ZF_x000a_Invoice Number Invoice Date IGST Paid(INR)_x000a_109  2017-12-06  4158 "/>
        <s v="GSTIN    -    06AXXXXXXXXB1ZF_x000a_Invoice Number Invoice Date IGST Paid(INR)_x000a_110  2017-12-07  4158 "/>
        <s v="GSTIN    -    07AXXXXXXXXF1ZH_x000a_Invoice Number Invoice Date IGST Paid(INR)_x000a_XXXXXXXXXXXXXX7-1  2017-11-28  20224 "/>
        <s v="GSTIN    -    07AXXXXXXXXF1ZR_x000a_Invoice Number Invoice Date IGST Paid(INR)_x000a_XXXXXXXXXXXX153  2017-12-08  11466 "/>
        <s v="GSTIN    -    07AXXXXXXXXL1ZI_x000a_Invoice Number Invoice Date IGST Paid(INR)_x000a_XXXXXXXXXXXX/35  2017-12-11  166646 "/>
        <s v="GSTIN    -    07AXXXXXXXXF1ZU_x000a_Invoice Number Invoice Date IGST Paid(INR)_x000a_XXXXXXX068  2017-12-04  147025 "/>
        <s v="GSTIN    -    07AXXXXXXXXC1Z5_x000a_Invoice Number Invoice Date IGST Paid(INR)_x000a_XXXXXXX/17  2017-12-05  33903 "/>
        <s v="GSTIN    -    06AXXXXXXXXB1ZF_x000a_Invoice Number Invoice Date IGST Paid(INR)_x000a_111  2017-12-11  4158 "/>
        <s v="GSTIN    -    06AXXXXXXXXE1ZT_x000a_Invoice Number Invoice Date IGST Paid(INR)_x000a_XXXXX-18  2017-12-11  298404 "/>
        <s v="GSTIN    -    06AXXXXXXXXK1ZF_x000a_Invoice Number Invoice Date IGST Paid(INR)_x000a_XXXXXXXXXXX340  2017-12-07  189189 "/>
        <s v="GSTIN    -    07AXXXXXXXXM1ZF_x000a_Invoice Number Invoice Date IGST Paid(INR)_x000a_XXXXXXX-18  2017-12-07  3906 "/>
        <s v="GSTIN    -    06AXXXXXXXXD1Z2_x000a_Invoice Number Invoice Date IGST Paid(INR)_x000a_XXXXXXXXXX933  2017-12-07  160999 "/>
        <s v="GSTIN    -    07AXXXXXXXXE1ZD_x000a_Invoice Number Invoice Date IGST Paid(INR)_x000a_XXXXXXXXXXX018  2017-12-05  118001 "/>
        <s v="GSTIN    -    08AXXXXXXXXA1ZW_x000a_Invoice Number Invoice Date IGST Paid(INR)_x000a_XXXXXXXXXXX-18  2017-12-12  3220 "/>
        <s v="GSTIN    -    27AXXXXXXXXR1ZF_x000a_Invoice Number Invoice Date IGST Paid(INR)_x000a_XXXXXXXXXXXXXX718  2017-12-06  8950 "/>
        <s v="GSTIN    -    06AXXXXXXXXB1ZF_x000a_Invoice Number Invoice Date IGST Paid(INR)_x000a_112  2017-12-13  4158 "/>
        <s v="GSTIN    -    07AXXXXXXXXF1ZU_x000a_Invoice Number Invoice Date IGST Paid(INR)_x000a_XXXXXXX069  2017-12-11  307129 "/>
        <s v="GSTIN    -    29AXXXXXXXXJ1Z5_x000a_Invoice Number Invoice Date IGST Paid(INR)_x000a_XXXXXXXXXXX017  2017-11-17  74410 "/>
        <s v="GSTIN    -    06AXXXXXXXXM1ZZ_x000a_Invoice Number Invoice Date IGST Paid(INR)_x000a_070  2017-12-07  69371 "/>
        <s v="GSTIN    -    07DXXXXXXXXL1ZP_x000a_Invoice Number Invoice Date IGST Paid(INR)_x000a_XXXXXXXXXXXX-18  2017-12-15  79128 "/>
        <s v="GSTIN    -    03AXXXXXXXXE1ZC_x000a_Invoice Number Invoice Date IGST Paid(INR)_x000a_E53  2017-12-14  88028 "/>
        <s v="GSTIN    -    06AXXXXXXXXB1ZF_x000a_Invoice Number Invoice Date IGST Paid(INR)_x000a_113  2017-12-15  3753 "/>
        <s v="GSTIN    -    08AXXXXXXXXA1Z5_x000a_Invoice Number Invoice Date IGST Paid(INR)_x000a_X090  2017-10-31  2598 "/>
        <s v="GSTIN    -    27AXXXXXXXXG1ZZ_x000a_Invoice Number Invoice Date IGST Paid(INR)_x000a_XXXXXXXXXXXXXX-18  2017-11-30  67946 "/>
        <s v="GSTIN    -    07AXXXXXXXXB1ZS_x000a_Invoice Number Invoice Date IGST Paid(INR)_x000a_XXXXXXX017  2017-12-08  89111 "/>
        <s v="GSTIN    -    07AXXXXXXXXB1ZS_x000a_Invoice Number Invoice Date IGST Paid(INR)_x000a_XXXXXXX017  2017-12-15  65112 "/>
        <s v="GSTIN    -    02AXXXXXXXXK1ZJ_x000a_Invoice Number Invoice Date IGST Paid(INR)_x000a_XXXXXXXXXXXXXX-18  2017-12-16  94893 "/>
        <s v="GSTIN    -    07AXXXXXXXXF1ZU_x000a_Invoice Number Invoice Date IGST Paid(INR)_x000a_XXXXXXX070  2017-12-14  133827 "/>
        <s v="GSTIN    -    06AXXXXXXXXB1ZF_x000a_Invoice Number Invoice Date IGST Paid(INR)_x000a_114  2017-12-18  3753 "/>
        <s v="GSTIN    -    07AXXXXXXXXB1ZE_x000a_Invoice Number Invoice Date IGST Paid(INR)_x000a_XXXMA8  2017-12-12  17084 "/>
        <s v="GSTIN    -    06AXXXXXXXXC2Z2_x000a_Invoice Number Invoice Date IGST Paid(INR)_x000a_XXXXX028  2017-12-14  50771448 "/>
        <s v="GSTIN    -    06AXXXXXXXXJ1ZI_x000a_Invoice Number Invoice Date IGST Paid(INR)_x000a_XXXXXXXXXXXXX762  2017-12-16  11970 "/>
        <s v="GSTIN    -    06AXXXXXXXXJ1ZK_x000a_Invoice Number Invoice Date IGST Paid(INR)_x000a_16  2017-12-20  25223 "/>
        <s v="GSTIN    -    08AXXXXXXXXD1ZM_x000a_Invoice Number Invoice Date IGST Paid(INR)_x000a_XXXXXXX646  2017-12-21  471806 "/>
        <s v="GSTIN    -    06AXXXXXXXXB1ZF_x000a_Invoice Number Invoice Date IGST Paid(INR)_x000a_115  2017-12-20  3753 "/>
        <s v="GSTIN    -    07AXXXXXXXXB1ZR_x000a_Invoice Number Invoice Date IGST Paid(INR)_x000a_XXXXXXXXX-18  2017-12-21  7550 "/>
        <s v="GSTIN    -    02AXXXXXXXXK1ZJ_x000a_Invoice Number Invoice Date IGST Paid(INR)_x000a_XXXXXXXXXXXXXX-18  2017-12-20  96086 "/>
        <s v="GSTIN    -    08AXXXXXXXXD1ZM_x000a_Invoice Number Invoice Date IGST Paid(INR)_x000a_XXXXXXX649  2017-12-21  426808 _x000a_XXXXXXX650  2017-12-21  44889 "/>
        <s v="GSTIN    -    06AXXXXXXXXG1ZP_x000a_Invoice Number Invoice Date IGST Paid(INR)_x000a_XXXXXXXXXXXXX164  2017-12-20  1522 "/>
        <s v="GSTIN    -    06AXXXXXXXXN1ZD_x000a_Invoice Number Invoice Date IGST Paid(INR)_x000a_XXX112  2017-12-11  6208 "/>
        <s v="GSTIN    -    06AXXXXXXXXB1ZF_x000a_Invoice Number Invoice Date IGST Paid(INR)_x000a_116  2017-12-25  3753 "/>
        <s v="GSTIN    -    07AXXXXXXXXK1ZR_x000a_Invoice Number Invoice Date IGST Paid(INR)_x000a_065  2017-12-23  287054 "/>
        <s v="GSTIN    -    07AXXXXXXXXB1ZR_x000a_Invoice Number Invoice Date IGST Paid(INR)_x000a_XXXXXXXXX-18  2017-12-22  14360 "/>
        <s v="GSTIN    -    02AXXXXXXXXK1ZJ_x000a_Invoice Number Invoice Date IGST Paid(INR)_x000a_XXXXXXXXXXXXXX-18  2017-12-23  77699 "/>
        <s v="GSTIN    -    07AXXXXXXXXK1Z5_x000a_Invoice Number Invoice Date IGST Paid(INR)_x000a_XXXXXXXXXXXXXX-18  2017-12-25  238078 "/>
        <s v="GSTIN    -    08AXXXXXXXXA1ZT_x000a_Invoice Number Invoice Date IGST Paid(INR)_x000a_XXX/02  2017-12-26  99422 "/>
        <s v="GSTIN    -    06AXXXXXXXXB1ZF_x000a_Invoice Number Invoice Date IGST Paid(INR)_x000a_117  2017-12-26  4081 "/>
        <s v="GSTIN    -    07AXXXXXXXXP1Z3_x000a_Invoice Number Invoice Date IGST Paid(INR)_x000a_X021  2017-12-14  32148 _x000a_X022  2017-12-14  27327 _x000a_X023  2017-12-14  29400 "/>
        <s v="GSTIN    -    03AXXXXXXXXP1ZA_x000a_Invoice Number Invoice Date IGST Paid(INR)_x000a_XXXX937  2017-12-19  11723 "/>
        <s v="GSTIN    -    07AXXXXXXXXB1ZR_x000a_Invoice Number Invoice Date IGST Paid(INR)_x000a_XXXXXXXXX-18  2017-12-27  4829 "/>
        <s v="GSTIN    -    07AXXXXXXXXB1ZR_x000a_Invoice Number Invoice Date IGST Paid(INR)_x000a_XXXXXXXXX-18  2017-12-27  11114 "/>
        <s v="GSTIN    -    06AXXXXXXXXB1ZF_x000a_Invoice Number Invoice Date IGST Paid(INR)_x000a_118  2017-12-27  3647 "/>
        <s v="GSTIN    -    07AXXXXXXXXF1ZU_x000a_Invoice Number Invoice Date IGST Paid(INR)_x000a_XXXXXXX072  2017-12-26  727153 "/>
        <s v="GSTIN    -    08AXXXXXXXXD1ZM_x000a_Invoice Number Invoice Date IGST Paid(INR)_x000a_XXXXXXX687  2017-12-28  233780 "/>
        <s v="GSTIN    -    06AXXXXXXXXB1ZF_x000a_Invoice Number Invoice Date IGST Paid(INR)_x000a_119  2017-12-28  4082 "/>
        <s v="GSTIN    -    02AXXXXXXXXK1ZJ_x000a_Invoice Number Invoice Date IGST Paid(INR)_x000a_XXXXXXXXXXXXXX-18  2017-12-28  84175 "/>
        <s v="GSTIN    -    08AXXXXXXXXD1ZM_x000a_Invoice Number Invoice Date IGST Paid(INR)_x000a_XXXXXXX697  2017-12-29  22519 "/>
        <s v="GSTIN    -    07AXXXXXXXXJ1Z1_x000a_Invoice Number Invoice Date IGST Paid(INR)_x000a_XXXXXXXX/17  2017-12-28  1137 "/>
        <s v="GSTIN    -    06AXXXXXXXXR1Z3_x000a_Invoice Number Invoice Date IGST Paid(INR)_x000a_XXXXXXXXXXXXXXOL-  2017-12-29  15380 "/>
        <s v="GSTIN    -    07AXXXXXXXXB1ZR_x000a_Invoice Number Invoice Date IGST Paid(INR)_x000a_XXXXXXXXX-18  2017-12-30  5530 "/>
        <s v="GSTIN    -    07AXXXXXXXXB1ZR_x000a_Invoice Number Invoice Date IGST Paid(INR)_x000a_XXXXXXXXX-18  2017-12-27  4250 "/>
      </sharedItems>
    </cacheField>
    <cacheField name="Gateway" numFmtId="0">
      <sharedItems/>
    </cacheField>
    <cacheField name="Clainmed and Not Claimed for ROSL" numFmtId="0">
      <sharedItems count="3">
        <s v="ROSL NOT CLAIMED"/>
        <s v="ROSL CLAIMED"/>
        <s v="NULL"/>
      </sharedItems>
    </cacheField>
    <cacheField name="IEC" numFmtId="0">
      <sharedItems count="107">
        <s v="NULL"/>
        <s v="06074994  AMMPS"/>
        <s v="06070484  AATPS"/>
        <s v="06046231  ADFFS"/>
        <s v="06001678  AMEPS"/>
        <s v="068904  01 AUG "/>
        <s v="061315  AABCC81"/>
        <s v="0609003542  AOF"/>
        <s v="06.4  0  7245  "/>
        <s v="064  AFYPK1878F"/>
        <s v="064  0  51064  "/>
        <s v="06  AUHPS0698FC"/>
        <s v="06  1002715.8  "/>
        <s v="068645  AABCT36"/>
        <s v="062609  ALGPK63"/>
        <s v="064  789144.6  "/>
        <s v="06054306  ABBFA"/>
        <s v="06  5248128  09"/>
        <s v="06450  11 AUG 2"/>
        <s v="063  15 AUG 201"/>
        <s v="062013  FHMPS10"/>
        <s v="06191  AADFT278"/>
        <s v="062884  AYZPP59"/>
        <s v="0610  18 AUG 20"/>
        <s v="064754  FHMPS10"/>
        <s v="06.6  2535422.6"/>
        <s v="06  24 AUG 2017"/>
        <s v="0629  24 AUG 20"/>
        <s v="061  AAECB3928M"/>
        <s v="064663  ADMPC70"/>
        <s v="06  6859452.6  "/>
        <s v="069272  BTLPP62"/>
        <s v="0671  FHMPS1058"/>
        <s v="06035182  AFYPK"/>
        <s v="069948  AAAFJ17"/>
        <s v="06  04 SEP 2017"/>
        <s v="0692  AATPS3087"/>
        <s v="0616907401  AAC"/>
        <s v="060  277911  0 "/>
        <s v="06 SEP 2017 12:"/>
        <s v="06062  AHDPK897"/>
        <s v="067872  AAJCA18"/>
        <s v="063.28  0  1876"/>
        <s v="060291  AABCS28"/>
        <s v="06004830  AAJCA"/>
        <s v="06790  12 SEP 2"/>
        <s v="06  12 SEP 2017"/>
        <s v="063865  ARPPK33"/>
        <s v="06062538  AAQPP"/>
        <s v="065307  14 SEP "/>
        <s v="064011  AVAPS66"/>
        <s v="06  0  0  0  0 "/>
        <s v="067517  AHEPG66"/>
        <s v="06JCH001  61614"/>
        <s v="06LCH002  62097"/>
        <s v="064  519395.84 "/>
        <s v="0604  27 SEP 20"/>
        <s v="06  AQBPK4529MC"/>
        <s v="06LCH002  63897"/>
        <s v="06  0  8006  N."/>
        <s v="0619  3765676.4"/>
        <s v="0632  0  80632 "/>
        <s v="06012905  FHMPS"/>
        <s v="063227  AACCP02"/>
        <s v="067969  AHVPD51"/>
        <s v="061428  AHVPD51"/>
        <s v="06 OCT 2017 12:"/>
        <s v="06.84  0  2416 "/>
        <s v="064  0  18064  "/>
        <s v="06.1  0  5026  "/>
        <s v="060855  AMJPS30"/>
        <s v="06102  17 OCT 2"/>
        <s v="06  194300.45  "/>
        <s v="0617QCH001  699"/>
        <s v="06059944  AGYPS"/>
        <s v="06LCH002  71033"/>
        <s v="0684  0  10684 "/>
        <s v="06074285  AAEPI"/>
        <s v="06 NOV 2017 12:"/>
        <s v="0615002285  AAI"/>
        <s v="06  08 NOV 2017"/>
        <s v="06736.74  0  12"/>
        <s v="06292.45  0  41"/>
        <s v="0621  AGVPS9920"/>
        <s v="06995  0  0  0 "/>
        <s v="06  0  806  N.A"/>
        <s v="06832  AAACC668"/>
        <s v="068212  AHDPK89"/>
        <s v="06LCH002  77476"/>
        <s v="0698  30 NOV 20"/>
        <s v="061  AADCR9553K"/>
        <s v="064172  AKMPA90"/>
        <s v="065  AADCA0273B"/>
        <s v="062359  AEEPG24"/>
        <s v="06QCH001  78597"/>
        <s v="06 DEC 2017 12:"/>
        <s v="067969  ADXPJ16"/>
        <s v="06837  07 DEC 2"/>
        <s v="06  1039584  0 "/>
        <s v="062  FHMPS1058E"/>
        <s v="06014115  AAAFA"/>
        <s v="068  18 DEC 201"/>
        <s v="06LCH002  82083"/>
        <s v="06329  AEAPD915"/>
        <s v="0677  0  10677 "/>
        <s v="06519  AAEFP274"/>
        <s v="068241  AADFT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n v="7096937"/>
    <s v="2017/07/01"/>
    <s v="IEC CHA No. Job No. Job Date Port of Discharge Total Package Gross Weight (Kg) FOB(INR) Total Cess (INR) Drawback STR Total (DBK+STR) CIN NO. CIN DT. Reward Flag_x000a_0597024561  AALFP3921GCH001  4320940  01 JUL 2017 12:07  USCHI  10  4135  1237814  0  24756  0  24756  N.A.  N.A.  Click here to view item wise reward details "/>
    <s v="Current Que LEO Date EP Copy Print Status DBK Scroll No Scroll Date EGM Integration Status_x000a_HIST  12 JUL 2017 00:07  Y  21243/2017  28 AUG 2017 00:08  Y "/>
    <s v="EGM No. EGM Date Container No. Seal No. Error Message_x000a_Z17061407  2017-7-14 0.0.0.0  OOCU6870924  394223  N.A. "/>
    <s v="ROSL Availed Amount(INR) Scroll Number Scroll Date_x000a_N  0  ROSL NOT CLAIMED  ROSL NOT CLAIMED "/>
    <s v="GSTIN    -    06AXXXXXXXXC1ZH_x000a_Invoice Number Invoice Date IGST Paid(INR)_x000a_XXXXXXXX-18  2017-06-30  24756 "/>
    <x v="0"/>
    <x v="0"/>
  </r>
  <r>
    <x v="0"/>
    <n v="7100605"/>
    <s v="2017/07/01"/>
    <s v="IEC CHA No. Job No. Job Date Port of Discharge Total Package Gross Weight (Kg) FOB(INR) Total Cess (INR) Drawback STR Total (DBK+STR) CIN NO. CIN DT. Reward Flag_x000a_0597024561  AALFP3921GCH001  4326197  01 JUL 2017 12:07  USCHI  4  786  356431.8  0  7129  0  7129  N.A.  N.A.  Click here to view item wise reward details "/>
    <s v="Current Que LEO Date EP Copy Print Status DBK Scroll No Scroll Date EGM Integration Status_x000a_HIST  04 JUL 2017 00:07  Y  21243/2017  28 AUG 2017 00:08  Y "/>
    <s v="EGM No. EGM Date Container No. Seal No. Error Message_x000a_R957660607  2017-7-6 0.0.0.0  TCNU3143079  393607  N.A. "/>
    <s v="ROSL Availed Amount(INR) Scroll Number Scroll Date_x000a_N  0  ROSL NOT CLAIMED  ROSL NOT CLAIMED "/>
    <s v="GSTIN    -    06AXXXXXXXXC1ZH_x000a_Invoice Number Invoice Date IGST Paid(INR)_x000a_XXXXXXXX-18  2017-06-30  7128 "/>
    <x v="1"/>
    <x v="0"/>
  </r>
  <r>
    <x v="0"/>
    <n v="7183827"/>
    <s v="2017/07/06"/>
    <s v="IEC CHA No. Job No. Job Date Port of Discharge Total Package Gross Weight (Kg) FOB(INR) Total Cess (INR) Drawback STR Total (DBK+STR) CIN NO. CIN DT. Reward Flag_x000a_0506074994  AMMPS0835PCH001  4432951  06 JUL 2017 12:07  SGSIN  212  9380.412  1068035.08  0  10638  0  10638  N.A.  N.A.  Click here to view item wise reward details "/>
    <s v="Current Que LEO Date EP Copy Print Status DBK Scroll No Scroll Date EGM Integration Status_x000a_HIST  07 JUL 2017 00:07  Y  21243/2017  28 AUG 2017 00:08  Y "/>
    <s v="EGM No. EGM Date Container No. Seal No. Error Message_x000a_R247461607  2017-7-16 0.0.0.0  SEGU6019208  394241  N.A. "/>
    <s v="ROSL Availed Amount(INR) Scroll Number Scroll Date_x000a_N  0  ROSL NOT CLAIMED  ROSL NOT CLAIMED "/>
    <s v="GSTIN    -    07AXXXXXXXXM1Z2_x000a_Invoice Number Invoice Date IGST Paid(INR)_x000a_XXXXXXXXXXX-18  2017-07-04  119771 "/>
    <x v="2"/>
    <x v="0"/>
  </r>
  <r>
    <x v="0"/>
    <n v="7603758"/>
    <s v="2017/07/26"/>
    <s v="IEC CHA No. Job No. Job Date Port of Discharge Total Package Gross Weight (Kg) FOB(INR) Total Cess (INR) Drawback STR Total (DBK+STR) CIN NO. CIN DT. Reward Flag_x000a_0505023954  AACFL6638BCH001  4917548  26 JUL 2017 12:07  THLCH  9  1095  444373  0  0  0  0  N.A.  N.A.  Click here to view item wise reward details "/>
    <s v="Current Que LEO Date EP Copy Print Status DBK Scroll No Scroll Date EGM Integration Status_x000a_HIST  27 JUL 2017 00:07  R  N.A.  N.A.  Y "/>
    <s v="EGM No. EGM Date Container No. Seal No. Error Message_x000a_R1817100108  2017-8-1 0.0.0.0  NYKU3719229  386464  N.A. "/>
    <s v="ROSL Availed Amount(INR) Scroll Number Scroll Date_x000a_NULL  NULL  NULL  NULL "/>
    <s v="GSTIN    -    06AXXXXXXXXJ1ZG_x000a_Invoice Number Invoice Date IGST Paid(INR)_x000a_XXXXXXXXXXX142  2017-07-24  48384 "/>
    <x v="2"/>
    <x v="1"/>
  </r>
  <r>
    <x v="0"/>
    <n v="7616933"/>
    <s v="2017/07/26"/>
    <s v="IEC CHA No. Job No. Job Date Port of Discharge Total Package Gross Weight (Kg) FOB(INR) Total Cess (INR) Drawback STR Total (DBK+STR) CIN NO. CIN DT. Reward Flag_x000a_0508003300  AHDPK8975CCH001  4932027  26 JUL 2017 12:07  NLRTM  10  3191  830072  0  16601  0  16601  N.A.  N.A.  Click here to view item wise reward details "/>
    <s v="Current Que LEO Date EP Copy Print Status DBK Scroll No Scroll Date EGM Integration Status_x000a_HIST  28 JUL 2017 00:07  Y  21484/2017  07 SEP 2017 00:09  Y "/>
    <s v="EGM No. EGM Date Container No. Seal No. Error Message_x000a_R237360308  2017-8-3 0.0.0.0  FCIU8411137  396483  N.A. "/>
    <s v="ROSL Availed Amount(INR) Scroll Number Scroll Date_x000a_N  0  ROSL NOT CLAIMED  ROSL NOT CLAIMED "/>
    <s v="GSTIN    -    06AXXXXXXXXH1ZO_x000a_Invoice Number Invoice Date IGST Paid(INR)_x000a_XXXXXXXXXXXX-18  2017-07-17  149412 "/>
    <x v="3"/>
    <x v="0"/>
  </r>
  <r>
    <x v="0"/>
    <n v="7623801"/>
    <s v="2017/07/27"/>
    <s v="IEC CHA No. Job No. Job Date Port of Discharge Total Package Gross Weight (Kg) FOB(INR) Total Cess (INR) Drawback STR Total (DBK+STR) CIN NO. CIN DT. Reward Flag_x000a_0596009488  ADFFS3281FCH001  4939510  27 JUL 2017 12:07  USOKD  1859  16630  8675968.81  0  94833  0  94833  N.A.  N.A.  Click here to view item wise reward details "/>
    <s v="Current Que LEO Date EP Copy Print Status DBK Scroll No Scroll Date EGM Integration Status_x000a_HIST  28 JUL 2017 00:07  Y  22528/2017  10 NOV 2017 00:11  Y "/>
    <s v="EGM No. EGM Date Container No. Seal No. Error Message_x000a_R857522807  2017-7-28 0.0.0.0  TCLU8863794  395965  N.A. "/>
    <s v="ROSL Availed Amount(INR) Scroll Number Scroll Date_x000a_N  0  ROSL NOT CLAIMED  ROSL NOT CLAIMED "/>
    <s v="GSTIN    -    09AXXXXXXXXC1Z4_x000a_Invoice Number Invoice Date IGST Paid(INR)_x000a_XXXXXXXXXXXXXX-18  2017-07-13  433793 "/>
    <x v="4"/>
    <x v="0"/>
  </r>
  <r>
    <x v="0"/>
    <n v="7638661"/>
    <s v="2017/07/27"/>
    <s v="IEC CHA No. Job No. Job Date Port of Discharge Total Package Gross Weight (Kg) FOB(INR) Total Cess (INR) Drawback STR Total (DBK+STR) CIN NO. CIN DT. Reward Flag_x000a_0506070484  AATPS3087NCH001  4955812  27 JUL 2017 12:07  VNSGN  26  5364.2  514985  0  0  0  0  N.A.  N.A.  Click here to view item wise reward details "/>
    <s v="Current Que LEO Date EP Copy Print Status DBK Scroll No Scroll Date EGM Integration Status_x000a_HIST  31 JUL 2017 00:07  Y  N.A.  N.A.  Y "/>
    <s v="EGM No. EGM Date Container No. Seal No. Error Message_x000a_J187520408  2017-8-4 0.0.0.0  BMOU2608183  397312  N.A. "/>
    <s v="ROSL Availed Amount(INR) Scroll Number Scroll Date_x000a_NULL  NULL  NULL  NULL "/>
    <s v="GSTIN    -    06AXXXXXXXXL1ZE_x000a_Invoice Number Invoice Date IGST Paid(INR)_x000a_XXXXX/16  2017-07-27  145084 "/>
    <x v="2"/>
    <x v="1"/>
  </r>
  <r>
    <x v="0"/>
    <n v="7640213"/>
    <s v="2017/07/27"/>
    <s v="IEC CHA No. Job No. Job Date Port of Discharge Total Package Gross Weight (Kg) FOB(INR) Total Cess (INR) Drawback STR Total (DBK+STR) CIN NO. CIN DT. Reward Flag_x000a_0514019492  AABCS7195NCH001  4957545  27 JUL 2017 12:07  FIRAU  2  250  224989.94  0  902  0  902  N.A.  N.A.  Click here to view item wise reward details "/>
    <s v="Current Que LEO Date EP Copy Print Status DBK Scroll No Scroll Date EGM Integration Status_x000a_HIST  29 JUL 2017 00:07  Y  21484/2017  07 SEP 2017 00:09  Y "/>
    <s v="EGM No. EGM Date Container No. Seal No. Error Message_x000a_T757460308  2017-8-3 0.0.0.0  CBHU9524016  397314  N.A. "/>
    <s v="ROSL Availed Amount(INR) Scroll Number Scroll Date_x000a_N  0  ROSL NOT CLAIMED  ROSL NOT CLAIMED "/>
    <s v="GSTIN    -    06AXXXXXXXXH2ZJ_x000a_Invoice Number Invoice Date IGST Paid(INR)_x000a_XXXXXXXXX/18  2017-07-18  26869 "/>
    <x v="5"/>
    <x v="0"/>
  </r>
  <r>
    <x v="0"/>
    <n v="7641404"/>
    <s v="2017/07/27"/>
    <s v="IEC CHA No. Job No. Job Date Port of Discharge Total Package Gross Weight (Kg) FOB(INR) Total Cess (INR) Drawback STR Total (DBK+STR) CIN NO. CIN DT. Reward Flag_x000a_0508003300  AHDPK8975CCH001  4958843  27 JUL 2017 12:07  SGSIN  6  2187  444246  0  8885  0  8885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s v="GSTIN    -    06AXXXXXXXXH1ZO_x000a_Invoice Number Invoice Date IGST Paid(INR)_x000a_XXXXXXXXXXXX-18  2017-07-25  79964 "/>
    <x v="6"/>
    <x v="0"/>
  </r>
  <r>
    <x v="0"/>
    <n v="7641415"/>
    <s v="2017/07/27"/>
    <s v="IEC CHA No. Job No. Job Date Port of Discharge Total Package Gross Weight (Kg) FOB(INR) Total Cess (INR) Drawback STR Total (DBK+STR) CIN NO. CIN DT. Reward Flag_x000a_0508003300  AHDPK8975CCH001  4958864  27 JUL 2017 12:07  SGSIN  38  18164  3836670  0  76733  0  76733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s v="GSTIN    -    06AXXXXXXXXH1ZO_x000a_Invoice Number Invoice Date IGST Paid(INR)_x000a_XXXXXXXXXXXX-18  2017-07-25  690600 "/>
    <x v="6"/>
    <x v="0"/>
  </r>
  <r>
    <x v="0"/>
    <n v="7642279"/>
    <s v="2017/07/27"/>
    <s v="IEC CHA No. Job No. Job Date Port of Discharge Total Package Gross Weight (Kg) FOB(INR) Total Cess (INR) Drawback STR Total (DBK+STR) CIN NO. CIN DT. Reward Flag_x000a_0508003300  AHDPK8975CCH001  4959794  27 JUL 2017 12:07  SGSIN  45  24734  7984172.5  0  159683  0  159683  N.A.  N.A.  Click here to view item wise reward details "/>
    <s v="Current Que LEO Date EP Copy Print Status DBK Scroll No Scroll Date EGM Integration Status_x000a_HIST  29 JUL 2017 00:07  Y  21484/2017  07 SEP 2017 00:09  Y "/>
    <s v="EGM No. EGM Date Container No. Seal No. Error Message_x000a_R777360308  2017-8-3 0.0.0.0  NYKU4725340  396275  N.A. "/>
    <s v="ROSL Availed Amount(INR) Scroll Number Scroll Date_x000a_N  0  ROSL NOT CLAIMED  ROSL NOT CLAIMED "/>
    <s v="GSTIN    -    06AXXXXXXXXH1ZO_x000a_Invoice Number Invoice Date IGST Paid(INR)_x000a_XXXXXXXXXXXX-18  2017-07-25  1437149 "/>
    <x v="6"/>
    <x v="0"/>
  </r>
  <r>
    <x v="0"/>
    <n v="7646561"/>
    <s v="2017/07/28"/>
    <s v="IEC CHA No. Job No. Job Date Port of Discharge Total Package Gross Weight (Kg) FOB(INR) Total Cess (INR) Drawback STR Total (DBK+STR) CIN NO. CIN DT. Reward Flag_x000a_0513056661  AHEPG6607LCH001  4964475  28 JUL 2017 12:07  ALDRZ  194  9553.6  1221257.4  0  52787  0  52787  N.A.  N.A.  Click here to view item wise reward details "/>
    <s v="Current Que LEO Date EP Copy Print Status DBK Scroll No Scroll Date EGM Integration Status_x000a_HIST  31 JUL 2017 00:07  Y  22032/2017  06 OCT 2017 00:10  Y "/>
    <s v="EGM No. EGM Date Container No. Seal No. Error Message_x000a_J187520408  2017-8-4 0.0.0.0  IPXU3207943  397043  N.A. "/>
    <s v="ROSL Availed Amount(INR) Scroll Number Scroll Date_x000a_N  0  ROSL NOT CLAIMED  ROSL NOT CLAIMED "/>
    <s v="GSTIN    -    07DXXXXXXXXB1ZH_x000a_Invoice Number Invoice Date IGST Paid(INR)_x000a_XXXXXXXXX/01  2017-07-24  354254 "/>
    <x v="3"/>
    <x v="0"/>
  </r>
  <r>
    <x v="0"/>
    <n v="7649257"/>
    <s v="2017/07/28"/>
    <s v="IEC CHA No. Job No. Job Date Port of Discharge Total Package Gross Weight (Kg) FOB(INR) Total Cess (INR) Drawback STR Total (DBK+STR) CIN NO. CIN DT. Reward Flag_x000a_0593058577  ADWPT4152FCH001  4967401  28 JUL 2017 12:07  BEANR  8  7650  1567732  0  31355  0  31355  N.A.  N.A.  Click here to view item wise reward details "/>
    <s v="Current Que LEO Date EP Copy Print Status DBK Scroll No Scroll Date EGM Integration Status_x000a_HIST  31 JUL 2017 00:07  Y  21484/2017  07 SEP 2017 00:09  Y "/>
    <s v="EGM No. EGM Date Container No. Seal No. Error Message_x000a_T967140708  2017-8-7 0.0.0.0  CRSU1370710  397366  N.A. "/>
    <s v="ROSL Availed Amount(INR) Scroll Number Scroll Date_x000a_N  0  ROSL NOT CLAIMED  ROSL NOT CLAIMED "/>
    <s v="GSTIN    -    06AXXXXXXXXK1ZT_x000a_Invoice Number Invoice Date IGST Paid(INR)_x000a_XXXXXXXXXXXX002  2017-07-24  129600 "/>
    <x v="3"/>
    <x v="0"/>
  </r>
  <r>
    <x v="0"/>
    <n v="7662086"/>
    <s v="2017/07/28"/>
    <s v="IEC CHA No. Job No. Job Date Port of Discharge Total Package Gross Weight (Kg) FOB(INR) Total Cess (INR) Drawback STR Total (DBK+STR) CIN NO. CIN DT. Reward Flag_x000a_0516929674  AAJPA1764ECH001  4981455  28 JUL 2017 12:07  AEJEA  1105  12723  3580704.04  0  53711  0  53711  N.A.  N.A.  Click here to view item wise reward details "/>
    <s v="Current Que LEO Date EP Copy Print Status DBK Scroll No Scroll Date EGM Integration Status_x000a_HIST  02 AUG 2017 00:08  Y  21484/2017  07 SEP 2017 00:09  Y "/>
    <s v="EGM No. EGM Date Container No. Seal No. Error Message_x000a_R627900608  2017-8-6 0.0.0.0  ESPU8041896  397273  N.A. "/>
    <s v="ROSL Availed Amount(INR) Scroll Number Scroll Date_x000a_N  0  ROSL NOT CLAIMED  ROSL NOT CLAIMED "/>
    <s v="GSTIN    -    06AXXXXXXXXK1Z7_x000a_Invoice Number Invoice Date IGST Paid(INR)_x000a_006  2017-07-27  647383 "/>
    <x v="7"/>
    <x v="0"/>
  </r>
  <r>
    <x v="0"/>
    <n v="7690771"/>
    <s v="2017/07/29"/>
    <s v="IEC CHA No. Job No. Job Date Port of Discharge Total Package Gross Weight (Kg) FOB(INR) Total Cess (INR) Drawback STR Total (DBK+STR) CIN NO. CIN DT. Reward Flag_x000a_0506046231  ADFFS3281FCH001  5012821  29 JUL 2017 12:07  GBTEE  22  22672  1792796.58  0  26892  0  26892  N.A.  N.A.  Click here to view item wise reward details "/>
    <s v="Current Que LEO Date EP Copy Print Status DBK Scroll No Scroll Date EGM Integration Status_x000a_HIST  01 AUG 2017 00:08  Y  29620/2018  13 SEP 2018 00:09  Y "/>
    <s v="EGM No. EGM Date Container No. Seal No. Error Message_x000a_J187520408  2017-8-4 0.0.0.0  TCNU8236209  009265  N.A. "/>
    <s v="ROSL Availed Amount(INR) Scroll Number Scroll Date_x000a_N  0  ROSL NOT CLAIMED  ROSL NOT CLAIMED "/>
    <s v="GSTIN    -    06AXXXXXXXXQ1ZC_x000a_Invoice Number Invoice Date IGST Paid(INR)_x000a_XXXXXXXXXXX/09  2017-07-29  249841 "/>
    <x v="8"/>
    <x v="0"/>
  </r>
  <r>
    <x v="0"/>
    <n v="7692707"/>
    <s v="2017/07/29"/>
    <s v="IEC CHA No. Job No. Job Date Port of Discharge Total Package Gross Weight (Kg) FOB(INR) Total Cess (INR) Drawback STR Total (DBK+STR) CIN NO. CIN DT. Reward Flag_x000a_0591026007  AHDPK8975CCH001  5014940  29 JUL 2017 12:07  USCHI  11  6695.87  876541.3  0  17199  0  17199  N.A.  N.A.  Click here to view item wise reward details "/>
    <s v="Current Que LEO Date EP Copy Print Status DBK Scroll No Scroll Date EGM Integration Status_x000a_HIST  04 AUG 2017 00:08  Y  21593/2017  12 SEP 2017 00:09  Y "/>
    <s v="EGM No. EGM Date Container No. Seal No. Error Message_x000a_R187761108  2017-8-11 0.0.0.0  IALU2255050  398038  N.A. "/>
    <s v="ROSL Availed Amount(INR) Scroll Number Scroll Date_x000a_N  0  ROSL NOT CLAIMED  ROSL NOT CLAIMED "/>
    <s v="GSTIN    -    09AXXXXXXXXC2Z0_x000a_Invoice Number Invoice Date IGST Paid(INR)_x000a_XXXXXXXXXXXXXX7-1  2017-07-10  53663 "/>
    <x v="9"/>
    <x v="0"/>
  </r>
  <r>
    <x v="0"/>
    <n v="7703453"/>
    <s v="2017/07/31"/>
    <s v="IEC CHA No. Job No. Job Date Port of Discharge Total Package Gross Weight (Kg) FOB(INR) Total Cess (INR) Drawback STR Total (DBK+STR) CIN NO. CIN DT. Reward Flag_x000a_0500016143  AEAPD9155RCH001  5026572  31 JUL 2017 12:07  DEHAM  78  1938  477658.43  0  6592  0  6592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5984802  398012  N.A. "/>
    <s v="ROSL Availed Amount(INR) Scroll Number Scroll Date_x000a_N  0  ROSL NOT CLAIMED  ROSL NOT CLAIMED "/>
    <s v="GSTIN    -    07AXXXXXXXXE1Z5_x000a_Invoice Number Invoice Date IGST Paid(INR)_x000a_681  2017-07-22  78589 "/>
    <x v="2"/>
    <x v="0"/>
  </r>
  <r>
    <x v="0"/>
    <n v="7712075"/>
    <s v="2017/07/31"/>
    <s v="IEC CHA No. Job No. Job Date Port of Discharge Total Package Gross Weight (Kg) FOB(INR) Total Cess (INR) Drawback STR Total (DBK+STR) CIN NO. CIN DT. Reward Flag_x000a_1308012381  AADCS9253MCH002  5035989  31 JUL 2017 12:07  DEHAM  72  6232  7004230.27  0  140085  0  140085  N.A.  N.A.  Click here to view item wise reward details "/>
    <s v="Current Que LEO Date EP Copy Print Status DBK Scroll No Scroll Date EGM Integration Status_x000a_HIST  02 AUG 2017 00:08  Y  21484/2017  07 SEP 2017 00:09  Y "/>
    <s v="EGM No. EGM Date Container No. Seal No. Error Message_x000a_T857300308  2017-8-3 0.0.0.0  FCIU2829217  014230  N.A. "/>
    <s v="ROSL Availed Amount(INR) Scroll Number Scroll Date_x000a_N  0  ROSL NOT CLAIMED  ROSL NOT CLAIMED "/>
    <s v="GSTIN    -    08AXXXXXXXXR1ZR_x000a_Invoice Number Invoice Date IGST Paid(INR)_x000a_XXXXXXXXXXXXXX078  2017-07-24  1961181 "/>
    <x v="10"/>
    <x v="0"/>
  </r>
  <r>
    <x v="0"/>
    <n v="7718281"/>
    <s v="2017/07/31"/>
    <s v="IEC CHA No. Job No. Job Date Port of Discharge Total Package Gross Weight (Kg) FOB(INR) Total Cess (INR) Drawback STR Total (DBK+STR) CIN NO. CIN DT. Reward Flag_x000a_0588055964  AAICS8856RCH001  5042770  31 JUL 2017 12:07  AUMEL  1  87  196215  0  3924  0  3924  N.A.  N.A.  Click here to view item wise reward details "/>
    <s v="Current Que LEO Date EP Copy Print Status DBK Scroll No Scroll Date EGM Integration Status_x000a_HIST  02 AUG 2017 00:08  Y  21593/2017  12 SEP 2017 00:09  Y "/>
    <s v="EGM No. EGM Date Container No. Seal No. Error Message_x000a_R757581008  2017-8-10 0.0.0.0  VSTU9000189  398018  N.A. "/>
    <s v="ROSL Availed Amount(INR) Scroll Number Scroll Date_x000a_N  0  ROSL NOT CLAIMED  ROSL NOT CLAIMED "/>
    <s v="GSTIN    -    07AXXXXXXXXQ1ZK_x000a_Invoice Number Invoice Date IGST Paid(INR)_x000a_X/26  2017-07-31  35661 "/>
    <x v="11"/>
    <x v="0"/>
  </r>
  <r>
    <x v="0"/>
    <n v="7721241"/>
    <s v="2017/07/31"/>
    <s v="IEC CHA No. Job No. Job Date Port of Discharge Total Package Gross Weight (Kg) FOB(INR) Total Cess (INR) Drawback STR Total (DBK+STR) CIN NO. CIN DT. Reward Flag_x000a_3306001678  AMEPS4194BCH001  5046037  31 JUL 2017 12:07  GBFXT  23  13328  6578725.36  0  28470  0  28470  N.A.  N.A.  Click here to view item wise reward details "/>
    <s v="Current Que LEO Date EP Copy Print Status DBK Scroll No Scroll Date EGM Integration Status_x000a_HIST  04 AUG 2017 00:08  Y  21484/2017  07 SEP 2017 00:09  Y "/>
    <s v="EGM No. EGM Date Container No. Seal No. Error Message_x000a_R627900608  2017-8-6 0.0.0.0  TCLU5214235  397616  N.A. "/>
    <s v="ROSL Availed Amount(INR) Scroll Number Scroll Date_x000a_N  0  ROSL NOT CLAIMED  ROSL NOT CLAIMED "/>
    <s v="GSTIN    -    06AXXXXXXXXG1ZX_x000a_Invoice Number Invoice Date IGST Paid(INR)_x000a_XXXXXXXXXXXXXX001  2017-07-28  14574 "/>
    <x v="12"/>
    <x v="0"/>
  </r>
  <r>
    <x v="0"/>
    <n v="7742310"/>
    <s v="2017/08/01"/>
    <s v="IEC CHA No. Job No. Job Date Port of Discharge Total Package Gross Weight (Kg) FOB(INR) Total Cess (INR) Drawback STR Total (DBK+STR) CIN NO. CIN DT. Reward Flag_x000a_0517528762  AHFPR4981HCH001  5068904  01 AUG 2017 12:08  KWKWI  97  2782.53  3348526.5  0  254777  0  254777  N.A.  N.A.  Click here to view item wise reward details "/>
    <s v="Current Que LEO Date EP Copy Print Status DBK Scroll No Scroll Date EGM Integration Status_x000a_HIST  03 AUG 2017 00:08  Y  21652/2017  14 SEP 2017 00:09  Y "/>
    <s v="EGM No. EGM Date Container No. Seal No. Error Message_x000a_R467841108  2017-8-11 0.0.0.0  PCIU8208557  398061  N.A. "/>
    <s v="ROSL Availed Amount(INR) Scroll Number Scroll Date_x000a_Y  109868  25635/2017  2017-9-15 0.0.0.0 "/>
    <s v="GSTIN    -    07AXXXXXXXXF1Z8_x000a_Invoice Number Invoice Date IGST Paid(INR)_x000a_XXXXXX001  2017-08-01  167681 "/>
    <x v="13"/>
    <x v="2"/>
  </r>
  <r>
    <x v="0"/>
    <n v="7747150"/>
    <s v="2017/08/01"/>
    <s v="IEC CHA No. Job No. Job Date Port of Discharge Total Package Gross Weight (Kg) FOB(INR) Total Cess (INR) Drawback STR Total (DBK+STR) CIN NO. CIN DT. Reward Flag_x000a_0509037844  AGYPS4804QCH001  5074148  01 AUG 2017 12:08  AUSYD  1  140  140970  0  8459  0  8459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4903350  398031  N.A. "/>
    <s v="ROSL Availed Amount(INR) Scroll Number Scroll Date_x000a_N  0  ROSL NOT CLAIMED  ROSL NOT CLAIMED "/>
    <s v="GSTIN    -    09AXXXXXXXXK2ZT_x000a_Invoice Number Invoice Date IGST Paid(INR)_x000a_37  2017-07-31  25718 "/>
    <x v="14"/>
    <x v="0"/>
  </r>
  <r>
    <x v="0"/>
    <n v="7751210"/>
    <s v="2017/08/01"/>
    <s v="IEC CHA No. Job No. Job Date Port of Discharge Total Package Gross Weight (Kg) FOB(INR) Total Cess (INR) Drawback STR Total (DBK+STR) CIN NO. CIN DT. Reward Flag_x000a_0596061315  AABCC8115GCH002  5078635  01 AUG 2017 12:08  AEJEA  181  2440  740254.43  0  30293  0  30293  N.A.  N.A.  Click here to view item wise reward details "/>
    <s v="Current Que LEO Date EP Copy Print Status DBK Scroll No Scroll Date EGM Integration Status_x000a_HIST  04 AUG 2017 00:08  Y  21593/2017  12 SEP 2017 00:09  Y "/>
    <s v="EGM No. EGM Date Container No. Seal No. Error Message_x000a_T587961208  2017-8-12 0.0.0.0  VMLU3602131  398041  N.A. "/>
    <s v="ROSL Availed Amount(INR) Scroll Number Scroll Date_x000a_N  0  ROSL NOT CLAIMED  ROSL NOT CLAIMED "/>
    <s v="GSTIN    -    07AXXXXXXXXM1ZP_x000a_Invoice Number Invoice Date IGST Paid(INR)_x000a_XXXX265  2017-08-01  16847 "/>
    <x v="2"/>
    <x v="0"/>
  </r>
  <r>
    <x v="0"/>
    <n v="7759192"/>
    <s v="2017/08/02"/>
    <s v="IEC CHA No. Job No. Job Date Port of Discharge Total Package Gross Weight (Kg) FOB(INR) Total Cess (INR) Drawback STR Total (DBK+STR) CIN NO. CIN DT. Reward Flag_x000a_0598005498  AANCS5422NCH004  5087233  02 AUG 2017 12:08  MACAS  220  3609.59  452450.2  0  7418  0  7418  N.A.  N.A.  Click here to view item wise reward details "/>
    <s v="Current Que LEO Date EP Copy Print Status DBK Scroll No Scroll Date EGM Integration Status_x000a_HIST  10 AUG 2017 00:08  Y  21593/2017  12 SEP 2017 00:09  Y "/>
    <s v="EGM No. EGM Date Container No. Seal No. Error Message_x000a_T857661708  2017-8-17 0.0.0.0  MRKU7285779  398326  N.A. "/>
    <s v="ROSL Availed Amount(INR) Scroll Number Scroll Date_x000a_N  0  ROSL NOT CLAIMED  ROSL NOT CLAIMED "/>
    <s v="GSTIN    -    07AXXXXXXXXL1ZI_x000a_Invoice Number Invoice Date IGST Paid(INR)_x000a_XXXXXXX017  2017-07-03  66431 "/>
    <x v="15"/>
    <x v="0"/>
  </r>
  <r>
    <x v="0"/>
    <n v="7764000"/>
    <s v="2017/08/02"/>
    <s v="IEC CHA No. Job No. Job Date Port of Discharge Total Package Gross Weight (Kg) FOB(INR) Total Cess (INR) Drawback STR Total (DBK+STR) CIN NO. CIN DT. Reward Flag_x000a_0596009488  ADFFS3281FCH001  5092423  02 AUG 2017 12:08  ITSPE  1004  7676.556  6205570.52  0  55644  0  55644  N.A.  N.A.  Click here to view item wise reward details "/>
    <s v="Current Que LEO Date EP Copy Print Status DBK Scroll No Scroll Date EGM Integration Status_x000a_HIST  03 AUG 2017 00:08  Y  21652/2017  14 SEP 2017 00:09  Y "/>
    <s v="EGM No. EGM Date Container No. Seal No. Error Message_x000a_T887020608  2017-8-6 0.0.0.0  CSLU2276080  396967  N.A. "/>
    <s v="ROSL Availed Amount(INR) Scroll Number Scroll Date_x000a_N  0  ROSL NOT CLAIMED  ROSL NOT CLAIMED "/>
    <s v="GSTIN    -    09AXXXXXXXXC1Z4_x000a_Invoice Number Invoice Date IGST Paid(INR)_x000a_XXXXXXXXXXXXXX-18  2017-07-15  310271 "/>
    <x v="16"/>
    <x v="0"/>
  </r>
  <r>
    <x v="0"/>
    <n v="7764312"/>
    <s v="2017/08/02"/>
    <s v="IEC CHA No. Job No. Job Date Port of Discharge Total Package Gross Weight (Kg) FOB(INR) Total Cess (INR) Drawback STR Total (DBK+STR) CIN NO. CIN DT. Reward Flag_x000a_0596009488  ADFFS3281FCH001  5092762  02 AUG 2017 12:08  ITSPE  1346  14240  9617899.87  0  91490  0  91490  N.A.  N.A.  Click here to view item wise reward details "/>
    <s v="Current Que LEO Date EP Copy Print Status DBK Scroll No Scroll Date EGM Integration Status_x000a_HIST  03 AUG 2017 00:08  Y  21484/2017  07 SEP 2017 00:09  Y "/>
    <s v="EGM No. EGM Date Container No. Seal No. Error Message_x000a_T887020608  2017-8-6 0.0.0.0  CCLU5302047  396980  N.A. "/>
    <s v="ROSL Availed Amount(INR) Scroll Number Scroll Date_x000a_N  0  ROSL NOT CLAIMED  ROSL NOT CLAIMED "/>
    <s v="GSTIN    -    09AXXXXXXXXC1Z4_x000a_Invoice Number Invoice Date IGST Paid(INR)_x000a_XXXXXXXXXXXXXX-18  2017-07-15  436205 "/>
    <x v="17"/>
    <x v="0"/>
  </r>
  <r>
    <x v="0"/>
    <n v="7772989"/>
    <s v="2017/08/02"/>
    <s v="IEC CHA No. Job No. Job Date Port of Discharge Total Package Gross Weight (Kg) FOB(INR) Total Cess (INR) Drawback STR Total (DBK+STR) CIN NO. CIN DT. Reward Flag_x000a_0609003542  AOFPS8466PCH001  5102223  02 AUG 2017 12:08  AUSYD  162  2999  782675.6  0  11740  0  11740  N.A.  N.A.  Click here to view item wise reward details "/>
    <s v="Current Que LEO Date EP Copy Print Status DBK Scroll No Scroll Date EGM Integration Status_x000a_HIST  11 AUG 2017 00:08  Y  21593/2017  12 SEP 2017 00:09  Y "/>
    <s v="EGM No. EGM Date Container No. Seal No. Error Message_x000a_R797122008  2017-8-20 0.0.0.0  RFSU2002442  398692  N.A. "/>
    <s v="ROSL Availed Amount(INR) Scroll Number Scroll Date_x000a_N  0  ROSL NOT CLAIMED  ROSL NOT CLAIMED "/>
    <s v="GSTIN    -    09AXXXXXXXXC1ZR_x000a_Invoice Number Invoice Date IGST Paid(INR)_x000a_62  2017-07-31  293987 "/>
    <x v="18"/>
    <x v="0"/>
  </r>
  <r>
    <x v="0"/>
    <n v="7774110"/>
    <s v="2017/08/02"/>
    <s v="IEC CHA No. Job No. Job Date Port of Discharge Total Package Gross Weight (Kg) FOB(INR) Total Cess (INR) Drawback STR Total (DBK+STR) CIN NO. CIN DT. Reward Flag_x000a_0510011683  AACFS5709ACH001  5103496  02 AUG 2017 12:08  GBSOU  18  432  62871.2  0  0  0  0  N.A.  N.A.  Click here to view item wise reward details "/>
    <s v="Current Que LEO Date EP Copy Print Status DBK Scroll No Scroll Date EGM Integration Status_x000a_HIST  10 AUG 2017 00:08  Y  N.A.  N.A.  Y "/>
    <s v="EGM No. EGM Date Container No. Seal No. Error Message_x000a_T757422208  2017-8-22 0.0.0.0  MSKU5798590  399514  N.A. "/>
    <s v="ROSL Availed Amount(INR) Scroll Number Scroll Date_x000a_NULL  NULL  NULL  NULL "/>
    <s v="GSTIN    -    07AXXXXXXXXA1ZA_x000a_Invoice Number Invoice Date IGST Paid(INR)_x000a_XXXXXXXXXX-18  2017-07-25  5502 "/>
    <x v="19"/>
    <x v="1"/>
  </r>
  <r>
    <x v="0"/>
    <n v="7778178"/>
    <s v="2017/08/02"/>
    <s v="IEC CHA No. Job No. Job Date Port of Discharge Total Package Gross Weight (Kg) FOB(INR) Total Cess (INR) Drawback STR Total (DBK+STR) CIN NO. CIN DT. Reward Flag_x000a_0510056601  AARPM0995PCH001  5107926  02 AUG 2017 12:08  THLCH  1  880  625475  0  3320  0  3320  N.A.  N.A.  Click here to view item wise reward details "/>
    <s v="Current Que LEO Date EP Copy Print Status DBK Scroll No Scroll Date EGM Integration Status_x000a_HIST  04 AUG 2017 00:08  Y  21593/2017  12 SEP 2017 00:09  Y "/>
    <s v="EGM No. EGM Date Container No. Seal No. Error Message_x000a_R757581008  2017-8-10 0.0.0.0  TCKU9945570  397386  N.A. "/>
    <s v="ROSL Availed Amount(INR) Scroll Number Scroll Date_x000a_N  0  ROSL NOT CLAIMED  ROSL NOT CLAIMED "/>
    <s v="GSTIN    -    08AXXXXXXXXR1Z1_x000a_Invoice Number Invoice Date IGST Paid(INR)_x000a_XXXXXXXXXXXXXX008  2017-07-31  112585 "/>
    <x v="2"/>
    <x v="0"/>
  </r>
  <r>
    <x v="0"/>
    <n v="7782282"/>
    <s v="2017/08/02"/>
    <s v="IEC CHA No. Job No. Job Date Port of Discharge Total Package Gross Weight (Kg) FOB(INR) Total Cess (INR) Drawback STR Total (DBK+STR) CIN NO. CIN DT. Reward Flag_x000a_0502021373  AAHCR2213ACH001  5112426  02 AUG 2017 12:08  CAMTR  8  80.465  483006.4  0  7245  0  7245  N.A.  N.A.  Click here to view item wise reward details "/>
    <s v="Current Que LEO Date EP Copy Print Status DBK Scroll No Scroll Date EGM Integration Status_x000a_HIST  05 AUG 2017 00:08  Y  21593/2017  12 SEP 2017 00:09  Y "/>
    <s v="EGM No. EGM Date Container No. Seal No. Error Message_x000a_R847681008  2017-8-10 0.0.0.0  THLU2130227  398013  N.A. "/>
    <s v="ROSL Availed Amount(INR) Scroll Number Scroll Date_x000a_N  0  ROSL NOT CLAIMED  ROSL NOT CLAIMED "/>
    <s v="GSTIN    -    07AXXXXXXXXR1ZH_x000a_Invoice Number Invoice Date IGST Paid(INR)_x000a_XXXXXXXXXX018  2017-07-27  135238 "/>
    <x v="20"/>
    <x v="0"/>
  </r>
  <r>
    <x v="0"/>
    <n v="7791798"/>
    <s v="2017/08/03"/>
    <s v="IEC CHA No. Job No. Job Date Port of Discharge Total Package Gross Weight (Kg) FOB(INR) Total Cess (INR) Drawback STR Total (DBK+STR) CIN NO. CIN DT. Reward Flag_x000a_0507051360  AAAFJ1721HCH058  5122783  03 AUG 2017 12:08  THBKK  1  150  189503.05  0  3790  0  3790  N.A.  N.A.  Click here to view item wise reward details "/>
    <s v="Current Que LEO Date EP Copy Print Status DBK Scroll No Scroll Date EGM Integration Status_x000a_HIST  05 AUG 2017 00:08  Y  21593/2017  12 SEP 2017 00:09  Y "/>
    <s v="EGM No. EGM Date Container No. Seal No. Error Message_x000a_T587961208  2017-8-12 0.0.0.0  ZCSU2559071  398088  N.A. "/>
    <s v="ROSL Availed Amount(INR) Scroll Number Scroll Date_x000a_N  0  ROSL NOT CLAIMED  ROSL NOT CLAIMED "/>
    <s v="GSTIN    -    06AXXXXXXXXR2ZO_x000a_Invoice Number Invoice Date IGST Paid(INR)_x000a_XXXXXXXXXXXXX/17  2017-08-01  53596 "/>
    <x v="21"/>
    <x v="0"/>
  </r>
  <r>
    <x v="0"/>
    <n v="7794172"/>
    <s v="2017/08/03"/>
    <s v="IEC CHA No. Job No. Job Date Port of Discharge Total Package Gross Weight (Kg) FOB(INR) Total Cess (INR) Drawback STR Total (DBK+STR) CIN NO. CIN DT. Reward Flag_x000a_0515042064  AFYPK1878FCH001  5125414  03 AUG 2017 12:08  HUBUD  60  725.8  365633  0  3182  0  3182  N.A.  N.A.  Click here to view item wise reward details "/>
    <s v="Current Que LEO Date EP Copy Print Status DBK Scroll No Scroll Date EGM Integration Status_x000a_HIST  08 AUG 2017 00:08  Y  21652/2017  14 SEP 2017 00:09  Y "/>
    <s v="EGM No. EGM Date Container No. Seal No. Error Message_x000a_R347041908  2017-8-19 0.0.0.0  TCNU4953686  398681  N.A. "/>
    <s v="ROSL Availed Amount(INR) Scroll Number Scroll Date_x000a_N  0  ROSL NOT CLAIMED  ROSL NOT CLAIMED "/>
    <s v="GSTIN    -    07AXXXXXXXXK1ZB_x000a_Invoice Number Invoice Date IGST Paid(INR)_x000a_XXXXXXXXXX-18  2017-08-03  28865 "/>
    <x v="22"/>
    <x v="0"/>
  </r>
  <r>
    <x v="0"/>
    <n v="7795473"/>
    <s v="2017/08/03"/>
    <s v="IEC CHA No. Job No. Job Date Port of Discharge Total Package Gross Weight (Kg) FOB(INR) Total Cess (INR) Drawback STR Total (DBK+STR) CIN NO. CIN DT. Reward Flag_x000a_0592023052  AABCG4164HCH003  5126864  03 AUG 2017 12:08  RULED  30  14280  2553209.65  0  51064  0  51064  N.A.  N.A.  Click here to view item wise reward details "/>
    <s v="Current Que LEO Date EP Copy Print Status DBK Scroll No Scroll Date EGM Integration Status_x000a_HIST  05 AUG 2017 00:08  Y  21484/2017  07 SEP 2017 00:09  Y "/>
    <s v="EGM No. EGM Date Container No. Seal No. Error Message_x000a_T747880608  2017-8-6 0.0.0.0  MSKU8535597  015881  N.A. "/>
    <s v="ROSL Availed Amount(INR) Scroll Number Scroll Date_x000a_N  0  ROSL NOT CLAIMED  ROSL NOT CLAIMED "/>
    <s v="GSTIN    -    06AXXXXXXXXE4ZU_x000a_Invoice Number Invoice Date IGST Paid(INR)_x000a_XXXXXXXXXXXXXX-18  2017-08-01  3268108 "/>
    <x v="23"/>
    <x v="0"/>
  </r>
  <r>
    <x v="0"/>
    <n v="7796181"/>
    <s v="2017/08/03"/>
    <s v="IEC CHA No. Job No. Job Date Port of Discharge Total Package Gross Weight (Kg) FOB(INR) Total Cess (INR) Drawback STR Total (DBK+STR) CIN NO. CIN DT. Reward Flag_x000a_0509007406  AUHPS0698FCH002  5127639  03 AUG 2017 12:08  AUSYD  29  310  557479.94  0  40907  0  40907  N.A.  N.A.  Click here to view item wise reward details "/>
    <s v="Current Que LEO Date EP Copy Print Status DBK Scroll No Scroll Date EGM Integration Status_x000a_HIST  08 AUG 2017 00:08  Y  21593/2017  12 SEP 2017 00:09  Y "/>
    <s v="EGM No. EGM Date Container No. Seal No. Error Message_x000a_R847681008  2017-8-10 0.0.0.0  THLU2130227  398013  N.A. "/>
    <s v="ROSL Availed Amount(INR) Scroll Number Scroll Date_x000a_Y  15758  25632/2017  2017-9-10 0.0.0.0 "/>
    <s v="GSTIN    -    07AXXXXXXXXE1ZF_x000a_Invoice Number Invoice Date IGST Paid(INR)_x000a_XXX006  2017-07-29  28099 "/>
    <x v="14"/>
    <x v="2"/>
  </r>
  <r>
    <x v="0"/>
    <n v="7800720"/>
    <s v="2017/08/03"/>
    <s v="IEC CHA No. Job No. Job Date Port of Discharge Total Package Gross Weight (Kg) FOB(INR) Total Cess (INR) Drawback STR Total (DBK+STR) CIN NO. CIN DT. Reward Flag_x000a_0502037547  AVAPS6694RCH001  5132614  03 AUG 2017 12:08  USNYC  1  247  274015.2  0  5480  0  5480  N.A.  N.A.  Click here to view item wise reward details "/>
    <s v="Current Que LEO Date EP Copy Print Status DBK Scroll No Scroll Date EGM Integration Status_x000a_HIST  08 AUG 2017 00:08  Y  21593/2017  12 SEP 2017 00:09  Y "/>
    <s v="EGM No. EGM Date Container No. Seal No. Error Message_x000a_R367241508  2017-8-15 0.0.0.0  TEMU7607563  398610  N.A. "/>
    <s v="ROSL Availed Amount(INR) Scroll Number Scroll Date_x000a_N  0  ROSL NOT CLAIMED  ROSL NOT CLAIMED "/>
    <s v="GSTIN    -    06AXXXXXXXXA1Z5_x000a_Invoice Number Invoice Date IGST Paid(INR)_x000a_XXXXXXX-18  2017-07-11  49321 "/>
    <x v="24"/>
    <x v="0"/>
  </r>
  <r>
    <x v="0"/>
    <n v="7804407"/>
    <s v="2017/08/03"/>
    <s v="IEC CHA No. Job No. Job Date Port of Discharge Total Package Gross Weight (Kg) FOB(INR) Total Cess (INR) Drawback STR Total (DBK+STR) CIN NO. CIN DT. Reward Flag_x000a_0511034661  AABCC8115GCH002  5136673  03 AUG 2017 12:08  AEJEA  64  306  1002715.8  0  0  0  0  N.A.  N.A.  Click here to view item wise reward details "/>
    <s v="Current Que LEO Date EP Copy Print Status DBK Scroll No Scroll Date EGM Integration Status_x000a_HIST  05 AUG 2017 00:08  Y  N.A.  N.A.  Y "/>
    <s v="EGM No. EGM Date Container No. Seal No. Error Message_x000a_T587961208  2017-8-12 0.0.0.0  FCIU8449214  398049  N.A. "/>
    <s v="ROSL Availed Amount(INR) Scroll Number Scroll Date_x000a_NULL  NULL  NULL  NULL "/>
    <s v="GSTIN    -    07AXXXXXXXXL1ZH_x000a_Invoice Number Invoice Date IGST Paid(INR)_x000a_006  2017-08-03  71889 "/>
    <x v="25"/>
    <x v="1"/>
  </r>
  <r>
    <x v="0"/>
    <n v="7812525"/>
    <s v="2017/08/04"/>
    <s v="IEC CHA No. Job No. Job Date Port of Discharge Total Package Gross Weight (Kg) FOB(INR) Total Cess (INR) Drawback STR Total (DBK+STR) CIN NO. CIN DT. Reward Flag_x000a_0513045228  AAICS8856RCH001  5145688  04 AUG 2017 12:08  LKCMB  123  815  1013422.31  0  5771  0  5771  N.A.  N.A.  Click here to view item wise reward details "/>
    <s v="Current Que LEO Date EP Copy Print Status DBK Scroll No Scroll Date EGM Integration Status_x000a_HIST  18 AUG 2017 00:08  Y  21593/2017  12 SEP 2017 00:09  Y "/>
    <s v="EGM No. EGM Date Container No. Seal No. Error Message_x000a_R957502308  2017-8-23 0.0.0.0  ZCSU6529476  399516  N.A. "/>
    <s v="ROSL Availed Amount(INR) Scroll Number Scroll Date_x000a_N  0  ROSL NOT CLAIMED  ROSL NOT CLAIMED "/>
    <s v="GSTIN    -    07AXXXXXXXXA1ZL_x000a_Invoice Number Invoice Date IGST Paid(INR)_x000a_53  2017-07-31  141585 "/>
    <x v="26"/>
    <x v="0"/>
  </r>
  <r>
    <x v="0"/>
    <n v="7826835"/>
    <s v="2017/08/04"/>
    <s v="IEC CHA No. Job No. Job Date Port of Discharge Total Package Gross Weight (Kg) FOB(INR) Total Cess (INR) Drawback STR Total (DBK+STR) CIN NO. CIN DT. Reward Flag_x000a_0507068645  AABCT3664RCH001  5161689  04 AUG 2017 12:08  PHMNL  9  791  36091.61  0  722  0  722  N.A.  N.A.  Click here to view item wise reward details "/>
    <s v="Current Que LEO Date EP Copy Print Status DBK Scroll No Scroll Date EGM Integration Status_x000a_HIST  07 AUG 2017 00:08  Y  21593/2017  12 SEP 2017 00:09  Y "/>
    <s v="EGM No. EGM Date Container No. Seal No. Error Message_x000a_R467841108  2017-8-11 0.0.0.0  SIKU3077183  398074  N.A. "/>
    <s v="ROSL Availed Amount(INR) Scroll Number Scroll Date_x000a_N  0  ROSL NOT CLAIMED  ROSL NOT CLAIMED "/>
    <s v="GSTIN    -    09AXXXXXXXXF1ZI_x000a_Invoice Number Invoice Date IGST Paid(INR)_x000a_XXXXX000  2017-07-28  10105 "/>
    <x v="2"/>
    <x v="0"/>
  </r>
  <r>
    <x v="0"/>
    <n v="7835799"/>
    <s v="2017/08/05"/>
    <s v="IEC CHA No. Job No. Job Date Port of Discharge Total Package Gross Weight (Kg) FOB(INR) Total Cess (INR) Drawback STR Total (DBK+STR) CIN NO. CIN DT. Reward Flag_x000a_0592023052  AATPS3087NCH001  5171603  05 AUG 2017 12:08  CATIY  3  1117.58  264343.16  0  5287  0  5287  N.A.  N.A.  Click here to view item wise reward details "/>
    <s v="Current Que LEO Date EP Copy Print Status DBK Scroll No Scroll Date EGM Integration Status_x000a_HIST  08 AUG 2017 00:08  Y  21593/2017  12 SEP 2017 00:09  Y "/>
    <s v="EGM No. EGM Date Container No. Seal No. Error Message_x000a_R247281508  2017-8-15 0.0.0.0  CLHU8419145  398617  N.A. "/>
    <s v="ROSL Availed Amount(INR) Scroll Number Scroll Date_x000a_N  0  ROSL NOT CLAIMED  ROSL NOT CLAIMED "/>
    <s v="GSTIN    -    06AXXXXXXXXE4ZU_x000a_Invoice Number Invoice Date IGST Paid(INR)_x000a_XXXXXXXXXXXXXX-18  2017-08-01  74016 "/>
    <x v="2"/>
    <x v="0"/>
  </r>
  <r>
    <x v="0"/>
    <n v="7849871"/>
    <s v="2017/08/05"/>
    <s v="IEC CHA No. Job No. Job Date Port of Discharge Total Package Gross Weight (Kg) FOB(INR) Total Cess (INR) Drawback STR Total (DBK+STR) CIN NO. CIN DT. Reward Flag_x000a_0593056868  AAAFA8105CCH001  5187167  05 AUG 2017 12:08  DJJIB  487  27750.15  5034285  0  352400  0  352400  N.A.  N.A.  Click here to view item wise reward details "/>
    <s v="Current Que LEO Date EP Copy Print Status DBK Scroll No Scroll Date EGM Integration Status_x000a_HIST  09 AUG 2017 00:08  Y  21652/2017  14 SEP 2017 00:09  Y _x000a_Current Que LEO Date EP Copy Print Status DBK Scroll No Scroll Date EGM Integration Status_x000a_HIST  09 AUG 2017 00:08  Y  21652/2017  14 SEP 2017 00:09  Y "/>
    <s v="EGM No. EGM Date Container No. Seal No. Error Message_x000a_J167821108  2017-8-11 0.0.0.0  MRSU3359958  398193  N.A. "/>
    <s v="ROSL Availed Amount(INR) Scroll Number Scroll Date_x000a_N  0  ROSL NOT CLAIMED  ROSL NOT CLAIMED "/>
    <s v="GSTIN    -    07AXXXXXXXXH1ZR_x000a_Invoice Number Invoice Date IGST Paid(INR)_x000a_XXXXXXXXXXX002  2017-08-05  604113 "/>
    <x v="27"/>
    <x v="0"/>
  </r>
  <r>
    <x v="0"/>
    <n v="7852739"/>
    <s v="2017/08/05"/>
    <s v="IEC CHA No. Job No. Job Date Port of Discharge Total Package Gross Weight (Kg) FOB(INR) Total Cess (INR) Drawback STR Total (DBK+STR) CIN NO. CIN DT. Reward Flag_x000a_0500062609  ALGPK6363BCH001  5190319  05 AUG 2017 12:08  OMSOH  5  5210  894292.65  0  17886  0  17886  N.A.  N.A.  Click here to view item wise reward details "/>
    <s v="Current Que LEO Date EP Copy Print Status DBK Scroll No Scroll Date EGM Integration Status_x000a_HIST  10 AUG 2017 00:08  Y  21593/2017  12 SEP 2017 00:09  Y "/>
    <s v="EGM No. EGM Date Container No. Seal No. Error Message_x000a_R367241508  2017-8-15 0.0.0.0  BSIU9154848  398377  N.A. "/>
    <s v="ROSL Availed Amount(INR) Scroll Number Scroll Date_x000a_N  0  ROSL NOT CLAIMED  ROSL NOT CLAIMED "/>
    <s v="GSTIN    -    07AXXXXXXXXG1ZH_x000a_Invoice Number Invoice Date IGST Paid(INR)_x000a_007  2017-08-01  160973 "/>
    <x v="28"/>
    <x v="0"/>
  </r>
  <r>
    <x v="0"/>
    <n v="7862536"/>
    <s v="2017/08/07"/>
    <s v="IEC CHA No. Job No. Job Date Port of Discharge Total Package Gross Weight (Kg) FOB(INR) Total Cess (INR) Drawback STR Total (DBK+STR) CIN NO. CIN DT. Reward Flag_x000a_0588050814  AFXPK5610ECH001  5200974  07 AUG 2017 12:08  JPTYO  2  56  37516.42  0  0  0  0  N.A.  N.A.  Click here to view item wise reward details "/>
    <s v="Current Que LEO Date EP Copy Print Status DBK Scroll No Scroll Date EGM Integration Status_x000a_HIST  10 AUG 2017 00:08  Y  N.A.  N.A.  Y "/>
    <s v="EGM No. EGM Date Container No. Seal No. Error Message_x000a_R467841108  2017-8-11 0.0.0.0  TCKU3614596  398071  N.A. "/>
    <s v="ROSL Availed Amount(INR) Scroll Number Scroll Date_x000a_NULL  NULL  NULL  NULL "/>
    <s v="GSTIN    -    07AXXXXXXXXR1ZM_x000a_Invoice Number Invoice Date IGST Paid(INR)_x000a_X105  2017-08-01  8292 "/>
    <x v="2"/>
    <x v="1"/>
  </r>
  <r>
    <x v="0"/>
    <n v="7877440"/>
    <s v="2017/08/08"/>
    <s v="IEC CHA No. Job No. Job Date Port of Discharge Total Package Gross Weight (Kg) FOB(INR) Total Cess (INR) Drawback STR Total (DBK+STR) CIN NO. CIN DT. Reward Flag_x000a_0515918024  AGYPS4804QCH001  5217366  08 AUG 2017 12:08  AEJEA  18  1064  789144.6  0  15468  0  1546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s v="GSTIN    -    07AXXXXXXXXG1ZP_x000a_Invoice Number Invoice Date IGST Paid(INR)_x000a_X189  2017-08-07  199238 _x000a_X190  2017-08-07  14244 "/>
    <x v="29"/>
    <x v="0"/>
  </r>
  <r>
    <x v="0"/>
    <n v="7891039"/>
    <s v="2017/08/08"/>
    <s v="IEC CHA No. Job No. Job Date Port of Discharge Total Package Gross Weight (Kg) FOB(INR) Total Cess (INR) Drawback STR Total (DBK+STR) CIN NO. CIN DT. Reward Flag_x000a_0502077905  AHDPK8975CCH001  5232403  08 AUG 2017 12:08  MYWSP  7  5950  490858.5  0  5399  0  5399  N.A.  N.A.  Click here to view item wise reward details "/>
    <s v="Current Que LEO Date EP Copy Print Status DBK Scroll No Scroll Date EGM Integration Status_x000a_HIST  11 AUG 2017 00:08  Y  21652/2017  14 SEP 2017 00:09  Y "/>
    <s v="EGM No. EGM Date Container No. Seal No. Error Message_x000a_R347041908  2017-8-19 0.0.0.0  CCSU5653592  398689  N.A. "/>
    <s v="ROSL Availed Amount(INR) Scroll Number Scroll Date_x000a_N  0  ROSL NOT CLAIMED  ROSL NOT CLAIMED "/>
    <s v="GSTIN    -    06AXXXXXXXXJ1ZI_x000a_Invoice Number Invoice Date IGST Paid(INR)_x000a_XXXXXXXXXXXX018  2017-08-08  88693 "/>
    <x v="2"/>
    <x v="0"/>
  </r>
  <r>
    <x v="0"/>
    <n v="7891796"/>
    <s v="2017/08/08"/>
    <s v="IEC CHA No. Job No. Job Date Port of Discharge Total Package Gross Weight (Kg) FOB(INR) Total Cess (INR) Drawback STR Total (DBK+STR) CIN NO. CIN DT. Reward Flag_x000a_0506054306  ABBFA4018NCH001  5233244  08 AUG 2017 12:08  DEHAM  25  487  434843.44  0  33774  0  33774  N.A.  N.A.  Click here to view item wise reward details "/>
    <s v="Current Que LEO Date EP Copy Print Status DBK Scroll No Scroll Date EGM Integration Status_x000a_HIST  10 AUG 2017 00:08  Y  21593/2017  12 SEP 2017 00:09  Y "/>
    <s v="EGM No. EGM Date Container No. Seal No. Error Message_x000a_T847481608  2017-8-16 0.0.0.0  SUDU7507315  398620  N.A. "/>
    <s v="ROSL Availed Amount(INR) Scroll Number Scroll Date_x000a_N  0  ROSL NOT CLAIMED  ROSL NOT CLAIMED "/>
    <s v="GSTIN    -    07AXXXXXXXXF1Z6_x000a_Invoice Number Invoice Date IGST Paid(INR)_x000a_XXXX613  2017-08-02  105585 "/>
    <x v="30"/>
    <x v="0"/>
  </r>
  <r>
    <x v="0"/>
    <n v="7903729"/>
    <s v="2017/08/09"/>
    <s v="IEC CHA No. Job No. Job Date Port of Discharge Total Package Gross Weight (Kg) FOB(INR) Total Cess (INR) Drawback STR Total (DBK+STR) CIN NO. CIN DT. Reward Flag_x000a_0500042616  AJEPK5545PCH001  5246395  09 AUG 2017 12:08  IEDUB  3  124.8  121267.13  0  2425  0  2425  N.A.  N.A.  Click here to view item wise reward details "/>
    <s v="Current Que LEO Date EP Copy Print Status DBK Scroll No Scroll Date EGM Integration Status_x000a_HIST  10 AUG 2017 00:08  Y  21652/2017  14 SEP 2017 00:09  Y "/>
    <s v="EGM No. EGM Date Container No. Seal No. Error Message_x000a_T567841908  2017-8-19 0.0.0.0  CCLU6335831  398647  N.A. "/>
    <s v="ROSL Availed Amount(INR) Scroll Number Scroll Date_x000a_N  0  ROSL NOT CLAIMED  ROSL NOT CLAIMED "/>
    <s v="GSTIN    -    07AXXXXXXXXR1ZF_x000a_Invoice Number Invoice Date IGST Paid(INR)_x000a_XXXXXXXXXXX010  2017-07-31  35910 "/>
    <x v="31"/>
    <x v="0"/>
  </r>
  <r>
    <x v="0"/>
    <n v="7905312"/>
    <s v="2017/08/09"/>
    <s v="IEC CHA No. Job No. Job Date Port of Discharge Total Package Gross Weight (Kg) FOB(INR) Total Cess (INR) Drawback STR Total (DBK+STR) CIN NO. CIN DT. Reward Flag_x000a_3097011234  AAACL3717ACH006  5248128  09 AUG 2017 12:08  ITGOA  6  2850  404859  0  8097  0  8097  N.A.  N.A.  Click here to view item wise reward details "/>
    <s v="Current Que LEO Date EP Copy Print Status DBK Scroll No Scroll Date EGM Integration Status_x000a_HIST  14 AUG 2017 00:08  Y  21652/2017  14 SEP 2017 00:09  Y "/>
    <s v="EGM No. EGM Date Container No. Seal No. Error Message_x000a_T957582308  2017-8-23 0.0.0.0  FCIU5841073  399543  N.A. "/>
    <s v="ROSL Availed Amount(INR) Scroll Number Scroll Date_x000a_N  0  ROSL NOT CLAIMED  ROSL NOT CLAIMED "/>
    <s v="GSTIN    -    03AXXXXXXXXL1Z0_x000a_Invoice Number Invoice Date IGST Paid(INR)_x000a_XXXX736  2017-08-09  111367 "/>
    <x v="32"/>
    <x v="0"/>
  </r>
  <r>
    <x v="0"/>
    <n v="7909008"/>
    <s v="2017/08/09"/>
    <s v="IEC CHA No. Job No. Job Date Port of Discharge Total Package Gross Weight (Kg) FOB(INR) Total Cess (INR) Drawback STR Total (DBK+STR) CIN NO. CIN DT. Reward Flag_x000a_AAKFN5762C  AHVPD5199DCH001  5252194  09 AUG 2017 12:08  USSIO  7  2975  4303349.56  0  43033  0  43033  N.A.  N.A.  Click here to view item wise reward details "/>
    <s v="Warehouse Code Warehouse Name Current Que Current Status Appraising Date A.C(APR) A.C(APR) Date Exam Mark ID Mark Date_x000a_N.A.  EXPORT W/H  EXAM_SUP  LEO CANCELLED  N.A.  N.A.  N.A.  10018908  17 AUG 2017 12:08 _x000a_  Insp/E.O EXAM DATE Supdt/A.O.Id DBK A.C ID DBK A.C ID Date DBK Supdt. ID DBK Supdt. Date DEPB Supdt DEPB Supdt Date_x000a_10039316  17 AUG 2017 00:08  10038461  N.A.  N.A.  N.A.  N.A.  N.A.  N.A. _x000a_  DEPB Lic DEPB Lic Date Sample Drawn Test Report LEO Date EP Copy Print Status Print Status DBK Scroll No Scroll Date EGM Integration Status_x000a_N.A.  N.A.  N.A.  N.A.  N.A.  Y  N.A.  N.A.  N.A.  N.A. "/>
    <s v="EGM No. EGM Date Container No. Seal No. Error Message_x000a_N.A.  N.A.  N.A.  N.A.  N.A. "/>
    <s v="ROSL Availed Amount(INR) Scroll Number Scroll Date_x000a_N  0  ROSL NOT CLAIMED  ROSL NOT CLAIMED "/>
    <s v="GSTIN    -    07AXXXXXXXXC1Z8_x000a_Invoice Number Invoice Date IGST Paid(INR)_x000a_XXX-75  2017-08-08  784898 "/>
    <x v="33"/>
    <x v="0"/>
  </r>
  <r>
    <x v="0"/>
    <n v="7918086"/>
    <s v="2017/08/09"/>
    <s v="IEC CHA No. Job No. Job Date Port of Discharge Total Package Gross Weight (Kg) FOB(INR) Total Cess (INR) Drawback STR Total (DBK+STR) CIN NO. CIN DT. Reward Flag_x000a_0517542374  AAAPC3345CCH001  5262192  09 AUG 2017 12:08  AEJEA  26  950  1030234.69  0  20528  0  2052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s v="GSTIN    -    06AXXXXXXXXR1ZC_x000a_Invoice Number Invoice Date IGST Paid(INR)_x000a_XXX/01  2017-07-28  187353 "/>
    <x v="29"/>
    <x v="0"/>
  </r>
  <r>
    <x v="0"/>
    <n v="7924066"/>
    <s v="2017/08/10"/>
    <s v="IEC CHA No. Job No. Job Date Port of Discharge Total Package Gross Weight (Kg) FOB(INR) Total Cess (INR) Drawback STR Total (DBK+STR) CIN NO. CIN DT. Reward Flag_x000a_0595025714  AAACP3974HCH001  5268773  10 AUG 2017 12:08  OMSOH  364  3086.72  590121.28  0  8852  0  8852  N.A.  N.A.  Click here to view item wise reward details "/>
    <s v="Current Que LEO Date EP Copy Print Status DBK Scroll No Scroll Date EGM Integration Status_x000a_HIST  16 AUG 2017 00:08  Y  21593/2017  12 SEP 2017 00:09  Y "/>
    <s v="EGM No. EGM Date Container No. Seal No. Error Message_x000a_R387561708  2017-8-17 0.0.0.0  CXDU1101779  398772  N.A. "/>
    <s v="ROSL Availed Amount(INR) Scroll Number Scroll Date_x000a_N  0  ROSL NOT CLAIMED  ROSL NOT CLAIMED "/>
    <s v="GSTIN    -    06AXXXXXXXXF1Z5_x000a_Invoice Number Invoice Date IGST Paid(INR)_x000a_XXXXXXXXXXXXX040  2017-08-09  30806 "/>
    <x v="34"/>
    <x v="0"/>
  </r>
  <r>
    <x v="0"/>
    <n v="7935521"/>
    <s v="2017/08/10"/>
    <s v="IEC CHA No. Job No. Job Date Port of Discharge Total Package Gross Weight (Kg) FOB(INR) Total Cess (INR) Drawback STR Total (DBK+STR) CIN NO. CIN DT. Reward Flag_x000a_0507051360  AAAFJ1721HCH058  5281453  10 AUG 2017 12:08  THBKK  1  150  187569.54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s v="GSTIN    -    06AXXXXXXXXR2ZO_x000a_Invoice Number Invoice Date IGST Paid(INR)_x000a_XXXXXXXXXXXXX/17  2017-08-10  53047 "/>
    <x v="2"/>
    <x v="0"/>
  </r>
  <r>
    <x v="0"/>
    <n v="7944561"/>
    <s v="2017/08/10"/>
    <s v="IEC CHA No. Job No. Job Date Port of Discharge Total Package Gross Weight (Kg) FOB(INR) Total Cess (INR) Drawback STR Total (DBK+STR) CIN NO. CIN DT. Reward Flag_x000a_0514026804  APGPK3937FCH001  5291412  10 AUG 2017 12:08  PKKHI  1113  24708  1492912.5  0  22394  0  22394  N.A.  N.A.  Click here to view item wise reward details "/>
    <s v="Current Que LEO Date EP Copy Print Status DBK Scroll No Scroll Date EGM Integration Status_x000a_HIST  21 AUG 2017 00:08  Y  24432/2018  25 MAR 2018 00:03  Y "/>
    <s v="EGM No. EGM Date Container No. Seal No. Error Message_x000a_R467902508  2017-8-25 0.0.0.0  BMOU6258360  399629  N.A. "/>
    <s v="ROSL Availed Amount(INR) Scroll Number Scroll Date_x000a_N  0  ROSL NOT CLAIMED  ROSL NOT CLAIMED "/>
    <s v="GSTIN    -    07AXXXXXXXXH1ZD_x000a_Invoice Number Invoice Date IGST Paid(INR)_x000a_XXXXXXXXXXXXX-18  2017-08-09  179147 "/>
    <x v="35"/>
    <x v="0"/>
  </r>
  <r>
    <x v="0"/>
    <n v="7945866"/>
    <s v="2017/08/10"/>
    <s v="IEC CHA No. Job No. Job Date Port of Discharge Total Package Gross Weight (Kg) FOB(INR) Total Cess (INR) Drawback STR Total (DBK+STR) CIN NO. CIN DT. Reward Flag_x000a_0598045783  FHMPS1058ECH001  5292835  10 AUG 2017 12:08  LKCMB  51  1050  584819.25  0  0  0  0  N.A.  N.A.  Click here to view item wise reward details "/>
    <s v="Current Que LEO Date EP Copy Print Status DBK Scroll No Scroll Date EGM Integration Status_x000a_HIST  14 AUG 2017 00:08  Y  N.A.  N.A.  Y "/>
    <s v="EGM No. EGM Date Container No. Seal No. Error Message_x000a_R957502308  2017-8-23 0.0.0.0  ZCSU6529476  399516  N.A. "/>
    <s v="ROSL Availed Amount(INR) Scroll Number Scroll Date_x000a_NULL  NULL  NULL  NULL "/>
    <s v="GSTIN    -    07AXXXXXXXXA1Z1_x000a_Invoice Number Invoice Date IGST Paid(INR)_x000a_XXXXXXXXXXXXXX-18  2017-08-10  70173 "/>
    <x v="26"/>
    <x v="1"/>
  </r>
  <r>
    <x v="0"/>
    <n v="7955843"/>
    <s v="2017/08/11"/>
    <s v="IEC CHA No. Job No. Job Date Port of Discharge Total Package Gross Weight (Kg) FOB(INR) Total Cess (INR) Drawback STR Total (DBK+STR) CIN NO. CIN DT. Reward Flag_x000a_0509025765  AACCA2655GCH002  5303717  11 AUG 2017 12:08  MUPLU  22  2580  295432.08  0  4288  0  4288  N.A.  N.A.  Click here to view item wise reward details "/>
    <s v="Current Que LEO Date EP Copy Print Status DBK Scroll No Scroll Date EGM Integration Status_x000a_HIST  16 AUG 2017 00:08  Y  21843/2017  21 SEP 2017 00:09  Y "/>
    <s v="EGM No. EGM Date Container No. Seal No. Error Message_x000a_TX197783108  2017-8-31 0.0.0.0  WHLU5249023  400237  N.A. "/>
    <s v="ROSL Availed Amount(INR) Scroll Number Scroll Date_x000a_N  0  ROSL NOT CLAIMED  ROSL NOT CLAIMED "/>
    <s v="GSTIN    -    07AXXXXXXXXP1Z3_x000a_Invoice Number Invoice Date IGST Paid(INR)_x000a_XXXXXXX006  2017-08-08  32141 "/>
    <x v="2"/>
    <x v="0"/>
  </r>
  <r>
    <x v="0"/>
    <n v="7958295"/>
    <s v="2017/08/11"/>
    <s v="IEC CHA No. Job No. Job Date Port of Discharge Total Package Gross Weight (Kg) FOB(INR) Total Cess (INR) Drawback STR Total (DBK+STR) CIN NO. CIN DT. Reward Flag_x000a_0598055665  AARPK1504ACH001  5306450  11 AUG 2017 12:08  FIHEL  25  475  353695.5  0  33601  0  33601  N.A.  N.A.  Click here to view item wise reward details "/>
    <s v="Current Que LEO Date EP Copy Print Status DBK Scroll No Scroll Date EGM Integration Status_x000a_HIST  24 AUG 2017 00:08  Y  21652/2017  14 SEP 2017 00:09  Y "/>
    <s v="EGM No. EGM Date Container No. Seal No. Error Message_x000a_R127262708  2017-8-27 0.0.0.0  GESU5095600  399594  N.A. "/>
    <s v="ROSL Availed Amount(INR) Scroll Number Scroll Date_x000a_N  0  ROSL NOT CLAIMED  ROSL NOT CLAIMED "/>
    <s v="GSTIN    -    07AXXXXXXXXD1ZA_x000a_Invoice Number Invoice Date IGST Paid(INR)_x000a_XXXX008  2017-08-08  53730 "/>
    <x v="2"/>
    <x v="0"/>
  </r>
  <r>
    <x v="0"/>
    <n v="7961683"/>
    <s v="2017/08/11"/>
    <s v="IEC CHA No. Job No. Job Date Port of Discharge Total Package Gross Weight (Kg) FOB(INR) Total Cess (INR) Drawback STR Total (DBK+STR) CIN NO. CIN DT. Reward Flag_x000a_0507051360  AAAFJ1721HCH058  5310153  11 AUG 2017 12:08  THBKK  1  150  187563.26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s v="GSTIN    -    06AXXXXXXXXR2ZO_x000a_Invoice Number Invoice Date IGST Paid(INR)_x000a_XXXXXXXXXXXXX/17  2017-08-11  53047 "/>
    <x v="36"/>
    <x v="0"/>
  </r>
  <r>
    <x v="0"/>
    <n v="7968231"/>
    <s v="2017/08/11"/>
    <s v="IEC CHA No. Job No. Job Date Port of Discharge Total Package Gross Weight (Kg) FOB(INR) Total Cess (INR) Drawback STR Total (DBK+STR) CIN NO. CIN DT. Reward Flag_x000a_0517546981  AICPK6933ACH001  5317376  11 AUG 2017 12:08  SADMN  14  405  247603.86  0  0  0  0  N.A.  N.A.  Click here to view item wise reward details "/>
    <s v="Current Que LEO Date EP Copy Print Status DBK Scroll No Scroll Date EGM Integration Status_x000a_HIST  16 AUG 2017 00:08  Y  N.A.  N.A.  Y "/>
    <s v="EGM No. EGM Date Container No. Seal No. Error Message_x000a_R487082008  2017-8-20 0.0.0.0  BSIU2524581  398651  N.A. "/>
    <s v="ROSL Availed Amount(INR) Scroll Number Scroll Date_x000a_NULL  NULL  NULL  NULL "/>
    <s v="GSTIN    -    07AXXXXXXXXM1Z2_x000a_Invoice Number Invoice Date IGST Paid(INR)_x000a_35  2017-08-04  44565 "/>
    <x v="29"/>
    <x v="1"/>
  </r>
  <r>
    <x v="0"/>
    <n v="7970037"/>
    <s v="2017/08/11"/>
    <s v="IEC CHA No. Job No. Job Date Port of Discharge Total Package Gross Weight (Kg) FOB(INR) Total Cess (INR) Drawback STR Total (DBK+STR) CIN NO. CIN DT. Reward Flag_x000a_0590022873  AAICS8856RCH001  5319329  11 AUG 2017 12:08  PLGDY  7  5710  927037.5  0  18541  0  18541  N.A.  N.A.  Click here to view item wise reward details "/>
    <s v="Current Que LEO Date EP Copy Print Status DBK Scroll No Scroll Date EGM Integration Status_x000a_HIST  17 AUG 2017 00:08  Y  21843/2017  21 SEP 2017 00:09  Y "/>
    <s v="EGM No. EGM Date Container No. Seal No. Error Message_x000a_J207823108  2017-8-31 0.0.0.0  MEDU7287066  400247  N.A. "/>
    <s v="ROSL Availed Amount(INR) Scroll Number Scroll Date_x000a_N  0  ROSL NOT CLAIMED  ROSL NOT CLAIMED "/>
    <s v="GSTIN    -    09AXXXXXXXXE1ZL_x000a_Invoice Number Invoice Date IGST Paid(INR)_x000a_XXXXXXXX020  2017-08-08  280688 "/>
    <x v="37"/>
    <x v="0"/>
  </r>
  <r>
    <x v="0"/>
    <n v="7970441"/>
    <s v="2017/08/11"/>
    <s v="IEC CHA No. Job No. Job Date Port of Discharge Total Package Gross Weight (Kg) FOB(INR) Total Cess (INR) Drawback STR Total (DBK+STR) CIN NO. CIN DT. Reward Flag_x000a_0314035087  AAACJ3309GCH001  5319773  11 AUG 2017 12:08  SNDKR  227  10727  1129229.09  0  16938  0  16938  N.A.  N.A.  Click here to view item wise reward details "/>
    <s v="Current Que LEO Date EP Copy Print Status DBK Scroll No Scroll Date EGM Integration Status_x000a_HIST  18 AUG 2017 00:08  Y  21593/2017  12 SEP 2017 00:09  Y "/>
    <s v="EGM No. EGM Date Container No. Seal No. Error Message_x000a_T957582308  2017-8-23 0.0.0.0  MRKU6649496  399437  N.A. "/>
    <s v="ROSL Availed Amount(INR) Scroll Number Scroll Date_x000a_N  0  ROSL NOT CLAIMED  ROSL NOT CLAIMED "/>
    <s v="GSTIN    -    27AXXXXXXXXN1Z4_x000a_Invoice Number Invoice Date IGST Paid(INR)_x000a_XXXXX042  2017-08-09  5030 "/>
    <x v="38"/>
    <x v="0"/>
  </r>
  <r>
    <x v="0"/>
    <n v="7971432"/>
    <s v="2017/08/11"/>
    <s v="IEC CHA No. Job No. Job Date Port of Discharge Total Package Gross Weight (Kg) FOB(INR) Total Cess (INR) Drawback STR Total (DBK+STR) CIN NO. CIN DT. Reward Flag_x000a_0503083518  AACCP0287DCH001  5320861  11 AUG 2017 12:08  FJSUV  42  1078  244576.38  0  3669  0  3669  N.A.  N.A.  Click here to view item wise reward details "/>
    <s v="Current Que LEO Date EP Copy Print Status DBK Scroll No Scroll Date EGM Integration Status_x000a_HIST  16 AUG 2017 00:08  Y  21593/2017  12 SEP 2017 00:09  Y "/>
    <s v="EGM No. EGM Date Container No. Seal No. Error Message_x000a_R857781808  2017-8-18 0.0.0.0  UNIU2052951  398643  N.A. "/>
    <s v="ROSL Availed Amount(INR) Scroll Number Scroll Date_x000a_N  0  ROSL NOT CLAIMED  ROSL NOT CLAIMED "/>
    <s v="GSTIN    -    07AXXXXXXXXE1ZF_x000a_Invoice Number Invoice Date IGST Paid(INR)_x000a_XXXXXXXX017  2017-08-08  27598 "/>
    <x v="39"/>
    <x v="0"/>
  </r>
  <r>
    <x v="0"/>
    <n v="7984652"/>
    <s v="2017/08/12"/>
    <s v="IEC CHA No. Job No. Job Date Port of Discharge Total Package Gross Weight (Kg) FOB(INR) Total Cess (INR) Drawback STR Total (DBK+STR) CIN NO. CIN DT. Reward Flag_x000a_0510040519  AATPS3087NCH001  5335219  12 AUG 2017 12:08  RULED  541  4695.4  901244.49  0  5978  0  5978  N.A.  N.A.  Click here to view item wise reward details "/>
    <s v="Current Que LEO Date EP Copy Print Status DBK Scroll No Scroll Date EGM Integration Status_x000a_HIST  18 AUG 2017 00:08  Y  21652/2017  14 SEP 2017 00:09  Y "/>
    <s v="EGM No. EGM Date Container No. Seal No. Error Message_x000a_R127262708  2017-8-27 0.0.0.0  HASU1199758  399248  N.A. "/>
    <s v="ROSL Availed Amount(INR) Scroll Number Scroll Date_x000a_N  0  ROSL NOT CLAIMED  ROSL NOT CLAIMED "/>
    <s v="GSTIN    -    07AXXXXXXXXP1Z5_x000a_Invoice Number Invoice Date IGST Paid(INR)_x000a_XXXXXXXXXXX/17  2017-08-10  45056 "/>
    <x v="40"/>
    <x v="0"/>
  </r>
  <r>
    <x v="0"/>
    <n v="8018847"/>
    <s v="2017/08/15"/>
    <s v="IEC CHA No. Job No. Job Date Port of Discharge Total Package Gross Weight (Kg) FOB(INR) Total Cess (INR) Drawback STR Total (DBK+STR) CIN NO. CIN DT. Reward Flag_x000a_0514081988  AATPS3087NCH001  5372063  15 AUG 2017 12:08  SADMM  349  4100  537776.03  0  10756  0  10756  N.A.  N.A.  Click here to view item wise reward details "/>
    <s v="Current Que LEO Date EP Copy Print Status DBK Scroll No Scroll Date EGM Integration Status_x000a_HIST  18 AUG 2017 00:08  Y  21652/2017  14 SEP 2017 00:09  Y "/>
    <s v="EGM No. EGM Date Container No. Seal No. Error Message_x000a_R207802508  2017-8-25 0.0.0.0  MSKU7268433  399449  N.A. "/>
    <s v="ROSL Availed Amount(INR) Scroll Number Scroll Date_x000a_N  0  ROSL NOT CLAIMED  ROSL NOT CLAIMED "/>
    <s v="GSTIN    -    07BXXXXXXXXH1ZS_x000a_Invoice Number Invoice Date IGST Paid(INR)_x000a_XXXXXXXXXXXXXX004  2017-08-10  96798 "/>
    <x v="41"/>
    <x v="0"/>
  </r>
  <r>
    <x v="0"/>
    <n v="8022473"/>
    <s v="2017/08/16"/>
    <s v="IEC CHA No. Job No. Job Date Port of Discharge Total Package Gross Weight (Kg) FOB(INR) Total Cess (INR) Drawback STR Total (DBK+STR) CIN NO. CIN DT. Reward Flag_x000a_0512062013  FHMPS1058ECH001  5375921  16 AUG 2017 12:08  UYMVD  58  1241  576334.5  0  43225  0  43225  N.A.  N.A.  Click here to view item wise reward details "/>
    <s v="Current Que LEO Date EP Copy Print Status DBK Scroll No Scroll Date EGM Integration Status_x000a_HIST  17 AUG 2017 00:08  Y  21652/2017  14 SEP 2017 00:09  Y "/>
    <s v="EGM No. EGM Date Container No. Seal No. Error Message_x000a_R807442208  2017-8-22 0.0.0.0  PCIU8179227  399508  N.A. "/>
    <s v="ROSL Availed Amount(INR) Scroll Number Scroll Date_x000a_N  0  ROSL NOT CLAIMED  ROSL NOT CLAIMED "/>
    <s v="GSTIN    -    07AXXXXXXXXH1Z4_x000a_Invoice Number Invoice Date IGST Paid(INR)_x000a_XXXX002  2017-08-02  28671 "/>
    <x v="42"/>
    <x v="0"/>
  </r>
  <r>
    <x v="0"/>
    <n v="8035307"/>
    <s v="2017/08/16"/>
    <s v="IEC CHA No. Job No. Job Date Port of Discharge Total Package Gross Weight (Kg) FOB(INR) Total Cess (INR) Drawback STR Total (DBK+STR) CIN NO. CIN DT. Reward Flag_x000a_0513021612  AAGPD5694PCH001  5389841  16 AUG 2017 12:08  DOSDQ  30  730  278973.55  0  5434  0  5434  N.A.  N.A.  Click here to view item wise reward details "/>
    <s v="Current Que LEO Date EP Copy Print Status DBK Scroll No Scroll Date EGM Integration Status_x000a_HIST  19 AUG 2017 00:08  Y  21843/2017  21 SEP 2017 00:09  Y "/>
    <s v="EGM No. EGM Date Container No. Seal No. Error Message_x000a_R87120209  2017-9-2 0.0.0.0  TCNU7158117  401010  N.A. "/>
    <s v="ROSL Availed Amount(INR) Scroll Number Scroll Date_x000a_N  0  ROSL NOT CLAIMED  ROSL NOT CLAIMED "/>
    <s v="GSTIN    -    07AXXXXXXXXF2ZV_x000a_Invoice Number Invoice Date IGST Paid(INR)_x000a_XXXXXXXXXXXXXXX06  2017-08-10  67373 "/>
    <x v="43"/>
    <x v="0"/>
  </r>
  <r>
    <x v="0"/>
    <n v="8039228"/>
    <s v="2017/08/16"/>
    <s v="IEC CHA No. Job No. Job Date Port of Discharge Total Package Gross Weight (Kg) FOB(INR) Total Cess (INR) Drawback STR Total (DBK+STR) CIN NO. CIN DT. Reward Flag_x000a_0515042064  AFYPK1878FCH001  5394090  16 AUG 2017 12:08  THBKK  8  96  42423.75  0  636  0  636  N.A.  N.A.  Click here to view item wise reward details "/>
    <s v="Current Que LEO Date EP Copy Print Status DBK Scroll No Scroll Date EGM Integration Status_x000a_HIST  23 AUG 2017 00:08  Y  21652/2017  14 SEP 2017 00:09  Y "/>
    <s v="EGM No. EGM Date Container No. Seal No. Error Message_x000a_R127262708  2017-8-27 0.0.0.0  RFCU2145800  399580  N.A. "/>
    <s v="ROSL Availed Amount(INR) Scroll Number Scroll Date_x000a_N  0  ROSL NOT CLAIMED  ROSL NOT CLAIMED "/>
    <s v="GSTIN    -    07AXXXXXXXXK1ZB_x000a_Invoice Number Invoice Date IGST Paid(INR)_x000a_XXXXXXXXX-18  2017-08-16  6059 "/>
    <x v="2"/>
    <x v="0"/>
  </r>
  <r>
    <x v="0"/>
    <n v="8055596"/>
    <s v="2017/08/17"/>
    <s v="IEC CHA No. Job No. Job Date Port of Discharge Total Package Gross Weight (Kg) FOB(INR) Total Cess (INR) Drawback STR Total (DBK+STR) CIN NO. CIN DT. Reward Flag_x000a_0593058577  ADWPT4152FCH001  5411860  17 AUG 2017 12:08  BGVAR  6  9000  1275380  0  25508  0  25508  N.A.  N.A.  Click here to view item wise reward details "/>
    <s v="Current Que LEO Date EP Copy Print Status DBK Scroll No Scroll Date EGM Integration Status_x000a_HIST  21 AUG 2017 00:08  Y  21652/2017  14 SEP 2017 00:09  Y "/>
    <s v="EGM No. EGM Date Container No. Seal No. Error Message_x000a_T957582308  2017-8-23 0.0.0.0  HASU4272343  399531  N.A. "/>
    <s v="ROSL Availed Amount(INR) Scroll Number Scroll Date_x000a_N  0  ROSL NOT CLAIMED  ROSL NOT CLAIMED "/>
    <s v="GSTIN    -    06AXXXXXXXXK1ZT_x000a_Invoice Number Invoice Date IGST Paid(INR)_x000a_XXXXXXXXXXXXXX502  2017-08-11  127960 "/>
    <x v="44"/>
    <x v="0"/>
  </r>
  <r>
    <x v="0"/>
    <n v="8061134"/>
    <s v="2017/08/17"/>
    <s v="IEC CHA No. Job No. Job Date Port of Discharge Total Package Gross Weight (Kg) FOB(INR) Total Cess (INR) Drawback STR Total (DBK+STR) CIN NO. CIN DT. Reward Flag_x000a_0515042064  AFYPK1878FCH001  5417911  17 AUG 2017 12:08  CAMTR  51  637.5  245137  0  3677  0  3677  N.A.  N.A.  Click here to view item wise reward details "/>
    <s v="Current Que LEO Date EP Copy Print Status DBK Scroll No Scroll Date EGM Integration Status_x000a_HIST  24 AUG 2017 00:08  Y  21843/2017  21 SEP 2017 00:09  Y "/>
    <s v="EGM No. EGM Date Container No. Seal No. Error Message_x000a_R87120209  2017-9-2 0.0.0.0  TGHU7862323  4001009  N.A. "/>
    <s v="ROSL Availed Amount(INR) Scroll Number Scroll Date_x000a_N  0  ROSL NOT CLAIMED  ROSL NOT CLAIMED "/>
    <s v="GSTIN    -    07AXXXXXXXXK1ZB_x000a_Invoice Number Invoice Date IGST Paid(INR)_x000a_XXXXXXXXX-18  2017-08-17  23380 "/>
    <x v="45"/>
    <x v="0"/>
  </r>
  <r>
    <x v="0"/>
    <n v="8065467"/>
    <s v="2017/08/17"/>
    <s v="IEC CHA No. Job No. Job Date Port of Discharge Total Package Gross Weight (Kg) FOB(INR) Total Cess (INR) Drawback STR Total (DBK+STR) CIN NO. CIN DT. Reward Flag_x000a_0509092110  AAGPB6351DCH001  5422677  17 AUG 2017 12:08  IRBND  395  10895.91  1996650.23  0  81230  0  81230  N.A.  N.A.  Click here to view item wise reward details "/>
    <s v="Current Que LEO Date EP Copy Print Status DBK Scroll No Scroll Date EGM Integration Status_x000a_HIST  24 AUG 2017 00:08  Y  21652/2017  14 SEP 2017 00:09  Y "/>
    <s v="EGM No. EGM Date Container No. Seal No. Error Message_x000a_R577683008  2017-8-30 0.0.0.0  AXIU2216000  399584  N.A. "/>
    <s v="Please Wait...."/>
    <s v="GSTIN    -    07AXXXXXXXXA1ZV_x000a_Invoice Number Invoice Date IGST Paid(INR)_x000a_XXXX082  2017-07-31  14173 "/>
    <x v="29"/>
    <x v="2"/>
  </r>
  <r>
    <x v="0"/>
    <n v="8065602"/>
    <s v="2017/08/17"/>
    <s v="IEC CHA No. Job No. Job Date Port of Discharge Total Package Gross Weight (Kg) FOB(INR) Total Cess (INR) Drawback STR Total (DBK+STR) CIN NO. CIN DT. Reward Flag_x000a_0599007931  AASPK7562KCH001  5422767  17 AUG 2017 12:08  EGPSD  6  166.5  173466  0  0  0  0  N.A.  N.A.  Click here to view item wise reward details "/>
    <s v="Current Que LEO Date EP Copy Print Status DBK Scroll No Scroll Date EGM Integration Status_x000a_HIST  19 AUG 2017 00:08  R  N.A.  N.A.  Y "/>
    <s v="EGM No. EGM Date Container No. Seal No. Error Message_x000a_R917162708  2017-8-27 0.0.0.0  WHLU5136177  400214  N.A. "/>
    <s v="ROSL Availed Amount(INR) Scroll Number Scroll Date_x000a_NULL  NULL  NULL  NULL "/>
    <s v="GSTIN    -    09AXXXXXXXXG1ZF_x000a_Invoice Number Invoice Date IGST Paid(INR)_x000a_XXXXXXXXXXXXXX004  2017-08-17  31224 "/>
    <x v="46"/>
    <x v="1"/>
  </r>
  <r>
    <x v="0"/>
    <n v="8067051"/>
    <s v="2017/08/17"/>
    <s v="IEC CHA No. Job No. Job Date Port of Discharge Total Package Gross Weight (Kg) FOB(INR) Total Cess (INR) Drawback STR Total (DBK+STR) CIN NO. CIN DT. Reward Flag_x000a_0514087234  AADCC6624QCH001  5424321  17 AUG 2017 12:08  KEEMB  63  2558.97  746343.75  0  62693  0  62693  N.A.  N.A.  Click here to view item wise reward details "/>
    <s v="Current Que LEO Date EP Copy Print Status DBK Scroll No Scroll Date EGM Integration Status_x000a_HIST  25 AUG 2017 00:08  Y  21843/2017  21 SEP 2017 00:09  Y "/>
    <s v="EGM No. EGM Date Container No. Seal No. Error Message_x000a_R1477100209  2017-9-2 0.0.0.0  FSCU9987548  401004  N.A. "/>
    <s v="ROSL Availed Amount(INR) Scroll Number Scroll Date_x000a_N  0  ROSL NOT CLAIMED  ROSL NOT CLAIMED "/>
    <s v="GSTIN    -    07AXXXXXXXXA1ZN_x000a_Invoice Number Invoice Date IGST Paid(INR)_x000a_XXXXXX-18  2017-08-01  38967 "/>
    <x v="47"/>
    <x v="0"/>
  </r>
  <r>
    <x v="0"/>
    <n v="8086454"/>
    <s v="2017/08/18"/>
    <s v="IEC CHA No. Job No. Job Date Port of Discharge Total Package Gross Weight (Kg) FOB(INR) Total Cess (INR) Drawback STR Total (DBK+STR) CIN NO. CIN DT. Reward Flag_x000a_0509006191  AADFT2787LCH001  5445293  18 AUG 2017 12:08  USNYC  46  853.3  248089.5  0  0  0  0  N.A.  N.A.  Click here to view item wise reward details "/>
    <s v="Current Que LEO Date EP Copy Print Status DBK Scroll No Scroll Date EGM Integration Status_x000a_HIST  23 AUG 2017 00:08  Y  N.A.  N.A.  Y "/>
    <s v="EGM No. EGM Date Container No. Seal No. Error Message_x000a_R917162708  2017-8-27 0.0.0.0  TCLU9275028  399574  N.A. "/>
    <s v="ROSL Availed Amount(INR) Scroll Number Scroll Date_x000a_NULL  NULL  NULL  NULL "/>
    <s v="GSTIN    -    07AXXXXXXXXJ1ZV_x000a_Invoice Number Invoice Date IGST Paid(INR)_x000a_XXXXXXXXXXXXXX/17  2017-08-12  45043 "/>
    <x v="48"/>
    <x v="1"/>
  </r>
  <r>
    <x v="0"/>
    <n v="8090388"/>
    <s v="2017/08/18"/>
    <s v="IEC CHA No. Job No. Job Date Port of Discharge Total Package Gross Weight (Kg) FOB(INR) Total Cess (INR) Drawback STR Total (DBK+STR) CIN NO. CIN DT. Reward Flag_x000a_0507062884  AYZPP5973GCH001  5449513  18 AUG 2017 12:08  BRSSZ  55  2705  1350857  0  27017  0  27017  N.A.  N.A.  Click here to view item wise reward details "/>
    <s v="Current Que LEO Date EP Copy Print Status DBK Scroll No Scroll Date EGM Integration Status_x000a_HIST  24 AUG 2017 00:08  Y  21652/2017  14 SEP 2017 00:09  Y "/>
    <s v="EGM No. EGM Date Container No. Seal No. Error Message_x000a_R027922508  2017-8-25 0.0.0.0  TCLU9529586  003209  N.A. "/>
    <s v="ROSL Availed Amount(INR) Scroll Number Scroll Date_x000a_N  0  ROSL NOT CLAIMED  ROSL NOT CLAIMED "/>
    <s v="GSTIN    -    09AXXXXXXXXJ1Z6_x000a_Invoice Number Invoice Date IGST Paid(INR)_x000a_XXXXXXXXXXX018  2017-08-10  243149 "/>
    <x v="37"/>
    <x v="0"/>
  </r>
  <r>
    <x v="0"/>
    <n v="8091385"/>
    <s v="2017/08/18"/>
    <s v="IEC CHA No. Job No. Job Date Port of Discharge Total Package Gross Weight (Kg) FOB(INR) Total Cess (INR) Drawback STR Total (DBK+STR) CIN NO. CIN DT. Reward Flag_x000a_0512002835  AABCJ1595RCH001  5450610  18 AUG 2017 12:08  QADOH  156  4212  521241.75  0  15637  0  15637  N.A.  N.A.  Click here to view item wise reward details "/>
    <s v="Current Que LEO Date EP Copy Print Status DBK Scroll No Scroll Date EGM Integration Status_x000a_HIST  23 AUG 2017 00:08  Y  21652/2017  14 SEP 2017 00:09  Y "/>
    <s v="EGM No. EGM Date Container No. Seal No. Error Message_x000a_R557142608  2017-8-26 0.0.0.0  VMLU3500891  399839  N.A. "/>
    <s v="ROSL Availed Amount(INR) Scroll Number Scroll Date_x000a_N  0  ROSL NOT CLAIMED  ROSL NOT CLAIMED "/>
    <s v="GSTIN    -    07AXXXXXXXXG1ZH_x000a_Invoice Number Invoice Date IGST Paid(INR)_x000a_XXXXXXX/17  2017-08-16  67654 "/>
    <x v="34"/>
    <x v="0"/>
  </r>
  <r>
    <x v="0"/>
    <n v="8102896"/>
    <s v="2017/08/19"/>
    <s v="IEC CHA No. Job No. Job Date Port of Discharge Total Package Gross Weight (Kg) FOB(INR) Total Cess (INR) Drawback STR Total (DBK+STR) CIN NO. CIN DT. Reward Flag_x000a_0589053850  AATPS3087NCH001  5463111  19 AUG 2017 12:08  AEJEA  2  680  81419.04  0  1628  0  1628  N.A.  N.A.  Click here to view item wise reward details "/>
    <s v="Current Que LEO Date EP Copy Print Status DBK Scroll No Scroll Date EGM Integration Status_x000a_HIST  24 AUG 2017 00:08  Y  21652/2017  14 SEP 2017 00:09  Y "/>
    <s v="EGM No. EGM Date Container No. Seal No. Error Message_x000a_TX187202708  2017-8-27 0.0.0.0  DRYU9598215  399569  N.A. "/>
    <s v="ROSL Availed Amount(INR) Scroll Number Scroll Date_x000a_N  0  ROSL NOT CLAIMED  ROSL NOT CLAIMED "/>
    <s v="GSTIN    -    06AXXXXXXXXM1ZZ_x000a_Invoice Number Invoice Date IGST Paid(INR)_x000a_043  2017-08-10  14655 "/>
    <x v="29"/>
    <x v="0"/>
  </r>
  <r>
    <x v="0"/>
    <n v="8122393"/>
    <s v="2017/08/20"/>
    <s v="IEC CHA No. Job No. Job Date Port of Discharge Total Package Gross Weight (Kg) FOB(INR) Total Cess (INR) Drawback STR Total (DBK+STR) CIN NO. CIN DT. Reward Flag_x000a_0516515403  AHDPA0753ECH001  5484326  20 AUG 2017 12:08  GRPIR  17  1786  958973.78  0  41789  0  41789  N.A.  N.A.  Click here to view item wise reward details "/>
    <s v="Current Que LEO Date EP Copy Print Status DBK Scroll No Scroll Date EGM Integration Status_x000a_HIST  26 AUG 2017 00:08  Y  21652/2017  14 SEP 2017 00:09  Y "/>
    <s v="EGM No. EGM Date Container No. Seal No. Error Message_x000a_T917703008  2017-8-30 0.0.0.0  EMCU3961694  400391  N.A. "/>
    <s v="ROSL Availed Amount(INR) Scroll Number Scroll Date_x000a_N  0  ROSL NOT CLAIMED  ROSL NOT CLAIMED "/>
    <s v="GSTIN    -    06AXXXXXXXXR1ZB_x000a_Invoice Number Invoice Date IGST Paid(INR)_x000a_05  2017-08-05  265896 "/>
    <x v="49"/>
    <x v="0"/>
  </r>
  <r>
    <x v="0"/>
    <n v="8128641"/>
    <s v="2017/08/21"/>
    <s v="IEC CHA No. Job No. Job Date Port of Discharge Total Package Gross Weight (Kg) FOB(INR) Total Cess (INR) Drawback STR Total (DBK+STR) CIN NO. CIN DT. Reward Flag_x000a_0512072388  AHVPD5199DCH001  5491108  21 AUG 2017 12:08  ZWHRE  143  9247.2  357319.94  0  6041  0  6041  N.A.  N.A.  Click here to view item wise reward details "/>
    <s v="Current Que LEO Date EP Copy Print Status DBK Scroll No Scroll Date EGM Integration Status_x000a_HIST  24 AUG 2017 00:08  Y  23643/2018  31 JAN 2018 00:01  Y "/>
    <s v="EGM No. EGM Date Container No. Seal No. Error Message_x000a_TR5624  2018-1-11 0.0.0.0  BEAU4057547  400081  N.A. "/>
    <s v="ROSL Availed Amount(INR) Scroll Number Scroll Date_x000a_N  0  ROSL NOT CLAIMED  ROSL NOT CLAIMED "/>
    <s v="GSTIN    -    07AXXXXXXXXF1Z0_x000a_Invoice Number Invoice Date IGST Paid(INR)_x000a_XXXXXXXXX-18  2017-08-18  62986 "/>
    <x v="2"/>
    <x v="0"/>
  </r>
  <r>
    <x v="0"/>
    <n v="8140525"/>
    <s v="2017/08/21"/>
    <s v="IEC CHA No. Job No. Job Date Port of Discharge Total Package Gross Weight (Kg) FOB(INR) Total Cess (INR) Drawback STR Total (DBK+STR) CIN NO. CIN DT. Reward Flag_x000a_0504064754  FHMPS1058ECH001  5503987  21 AUG 2017 12:08  LKCMB  8  615  394478.8  0  7703  0  7703  N.A.  N.A.  Click here to view item wise reward details "/>
    <s v="Current Que LEO Date EP Copy Print Status DBK Scroll No Scroll Date EGM Integration Status_x000a_HIST  24 AUG 2017 00:08  Y  21652/2017  14 SEP 2017 00:09  Y "/>
    <s v="EGM No. EGM Date Container No. Seal No. Error Message_x000a_T777562908  2017-8-29 0.0.0.0  ZCSU6509680  400220  N.A. "/>
    <s v="ROSL Availed Amount(INR) Scroll Number Scroll Date_x000a_N  0  ROSL NOT CLAIMED  ROSL NOT CLAIMED "/>
    <s v="GSTIN    -    09AXXXXXXXXP2ZF_x000a_Invoice Number Invoice Date IGST Paid(INR)_x000a_XXXXXXXXX/16  2017-08-17  54751 "/>
    <x v="50"/>
    <x v="0"/>
  </r>
  <r>
    <x v="0"/>
    <n v="8140947"/>
    <s v="2017/08/21"/>
    <s v="IEC CHA No. Job No. Job Date Port of Discharge Total Package Gross Weight (Kg) FOB(INR) Total Cess (INR) Drawback STR Total (DBK+STR) CIN NO. CIN DT. Reward Flag_x000a_0592023052  AGYPS4804QCH001  5504396  21 AUG 2017 12:08  MYPKG  1  516.28  190025.14  0  3801  0  3801  N.A.  N.A.  Click here to view item wise reward details "/>
    <s v="Current Que LEO Date EP Copy Print Status DBK Scroll No Scroll Date EGM Integration Status_x000a_HIST  24 AUG 2017 00:08  Y  21652/2017  14 SEP 2017 00:09  Y "/>
    <s v="EGM No. EGM Date Container No. Seal No. Error Message_x000a_R917162708  2017-8-27 0.0.0.0  WSCU8099149  399598  N.A. "/>
    <s v="ROSL Availed Amount(INR) Scroll Number Scroll Date_x000a_N  0  ROSL NOT CLAIMED  ROSL NOT CLAIMED "/>
    <s v="GSTIN    -    06AXXXXXXXXE4ZU_x000a_Invoice Number Invoice Date IGST Paid(INR)_x000a_XXXXXXXXXXXXXX718  2017-08-16  53456 "/>
    <x v="2"/>
    <x v="0"/>
  </r>
  <r>
    <x v="0"/>
    <n v="8144422"/>
    <s v="2017/08/21"/>
    <s v="IEC CHA No. Job No. Job Date Port of Discharge Total Package Gross Weight (Kg) FOB(INR) Total Cess (INR) Drawback STR Total (DBK+STR) CIN NO. CIN DT. Reward Flag_x000a_0511026242  AABCC8115GCH002  5508126  21 AUG 2017 12:08  LKCMB  8  199  237937.5  0  0  0  0  N.A.  N.A.  Click here to view item wise reward details "/>
    <s v="Current Que LEO Date EP Copy Print Status DBK Scroll No Scroll Date EGM Integration Status_x000a_HIST  24 AUG 2017 00:08  Y  N.A.  N.A.  Y "/>
    <s v="EGM No. EGM Date Container No. Seal No. Error Message_x000a_T877720509  2017-9-5 0.0.0.0  TCNU9608445  401062  N.A. "/>
    <s v="ROSL Availed Amount(INR) Scroll Number Scroll Date_x000a_NULL  NULL  NULL  NULL "/>
    <s v="GSTIN    -    06AXXXXXXXXN1Z9_x000a_Invoice Number Invoice Date IGST Paid(INR)_x000a_XXXXXXXX-18  2017-08-21  43227 "/>
    <x v="51"/>
    <x v="1"/>
  </r>
  <r>
    <x v="0"/>
    <n v="8146066"/>
    <s v="2017/08/21"/>
    <s v="IEC CHA No. Job No. Job Date Port of Discharge Total Package Gross Weight (Kg) FOB(INR) Total Cess (INR) Drawback STR Total (DBK+STR) CIN NO. CIN DT. Reward Flag_x000a_0288012101  AHRPD2201LCH001  5509928  21 AUG 2017 12:08  AEJEA  140  1890  1580843.92  0  41102  0  41102  N.A.  N.A.  Click here to view item wise reward details "/>
    <s v="Current Que LEO Date EP Copy Print Status DBK Scroll No Scroll Date EGM Integration Status_x000a_HIST  25 AUG 2017 00:08  Y  21652/2017  14 SEP 2017 00:09  Y "/>
    <s v="EGM No. EGM Date Container No. Seal No. Error Message_x000a_R317382808  2017-8-28 0.0.0.0  HJMU2911781  400157  N.A. "/>
    <s v="ROSL Availed Amount(INR) Scroll Number Scroll Date_x000a_N  0  ROSL NOT CLAIMED  ROSL NOT CLAIMED "/>
    <s v="GSTIN    -    06AXXXXXXXXQ1ZQ_x000a_Invoice Number Invoice Date IGST Paid(INR)_x000a_XXXXXXXXXXXX003  2017-08-18  285450 "/>
    <x v="52"/>
    <x v="0"/>
  </r>
  <r>
    <x v="0"/>
    <n v="8146068"/>
    <s v="2017/08/21"/>
    <s v="IEC CHA No. Job No. Job Date Port of Discharge Total Package Gross Weight (Kg) FOB(INR) Total Cess (INR) Drawback STR Total (DBK+STR) CIN NO. CIN DT. Reward Flag_x000a_0288012101  AHRPD2201LCH001  5509926  21 AUG 2017 12:08  AEJEA  122  1544.6  768734.68  0  10959  0  10959  N.A.  N.A.  Click here to view item wise reward details "/>
    <s v="Current Que LEO Date EP Copy Print Status DBK Scroll No Scroll Date EGM Integration Status_x000a_HIST  24 AUG 2017 00:08  Y  21652/2017  14 SEP 2017 00:09  Y "/>
    <s v="EGM No. EGM Date Container No. Seal No. Error Message_x000a_R317382808  2017-8-28 0.0.0.0  HJMU2911781  400157  N.A. "/>
    <s v="ROSL Availed Amount(INR) Scroll Number Scroll Date_x000a_N  0  ROSL NOT CLAIMED  ROSL NOT CLAIMED "/>
    <s v="GSTIN    -    06AXXXXXXXXQ1ZQ_x000a_Invoice Number Invoice Date IGST Paid(INR)_x000a_XXXXXXXXXXXX004  2017-08-18  139269 "/>
    <x v="52"/>
    <x v="0"/>
  </r>
  <r>
    <x v="0"/>
    <n v="8159434"/>
    <s v="2017/08/22"/>
    <s v="IEC CHA No. Job No. Job Date Port of Discharge Total Package Gross Weight (Kg) FOB(INR) Total Cess (INR) Drawback STR Total (DBK+STR) CIN NO. CIN DT. Reward Flag_x000a_0595012647  AAACC6689ECH001  5524445  22 AUG 2017 12:08  PKKHI  777  9526  3095252.8  0  46429  0  46429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s v="GSTIN    -    07AXXXXXXXXB1ZR_x000a_Invoice Number Invoice Date IGST Paid(INR)_x000a_XXXXXXXXX-18  2017-08-12  371424 "/>
    <x v="53"/>
    <x v="0"/>
  </r>
  <r>
    <x v="0"/>
    <n v="8160683"/>
    <s v="2017/08/22"/>
    <s v="IEC CHA No. Job No. Job Date Port of Discharge Total Package Gross Weight (Kg) FOB(INR) Total Cess (INR) Drawback STR Total (DBK+STR) CIN NO. CIN DT. Reward Flag_x000a_0595012647  AAACC6689ECH001  5525781  22 AUG 2017 12:08  PKKHI  243  2346  1269897.18  0  19048  0  19048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s v="GSTIN    -    07AXXXXXXXXB1ZR_x000a_Invoice Number Invoice Date IGST Paid(INR)_x000a_XXXXXXXXX-18  2017-08-19  152387 "/>
    <x v="53"/>
    <x v="0"/>
  </r>
  <r>
    <x v="0"/>
    <n v="8169500"/>
    <s v="2017/08/22"/>
    <s v="IEC CHA No. Job No. Job Date Port of Discharge Total Package Gross Weight (Kg) FOB(INR) Total Cess (INR) Drawback STR Total (DBK+STR) CIN NO. CIN DT. Reward Flag_x000a_0591028549  AAECB3928MCH001  5535182  22 AUG 2017 12:08  USHOU  1  271.647  252848.25  0  0  0  0  N.A.  N.A.  Click here to view item wise reward details "/>
    <s v="Current Que LEO Date EP Copy Print Status DBK Scroll No Scroll Date EGM Integration Status_x000a_HIST  25 AUG 2017 00:08  Y  N.A.  N.A.  Y "/>
    <s v="EGM No. EGM Date Container No. Seal No. Error Message_x000a_T707121409  2017-9-14 0.0.0.0  PONU1385155  401038  N.A. "/>
    <s v="ROSL Availed Amount(INR) Scroll Number Scroll Date_x000a_NULL  NULL  NULL  NULL "/>
    <s v="GSTIN    -    06AXXXXXXXXJ2ZR_x000a_Invoice Number Invoice Date IGST Paid(INR)_x000a_XXXXX-18  2017-08-21  45511 "/>
    <x v="54"/>
    <x v="1"/>
  </r>
  <r>
    <x v="0"/>
    <n v="8170873"/>
    <s v="2017/08/22"/>
    <s v="IEC CHA No. Job No. Job Date Port of Discharge Total Package Gross Weight (Kg) FOB(INR) Total Cess (INR) Drawback STR Total (DBK+STR) CIN NO. CIN DT. Reward Flag_x000a_3104003254  AAACA3307KCH003  5536680  22 AUG 2017 12:08  ARBUE  1  15  90073.62  0  2262  0  2262  N.A.  N.A.  Click here to view item wise reward details "/>
    <s v="Current Que LEO Date EP Copy Print Status DBK Scroll No Scroll Date EGM Integration Status_x000a_HIST  04 SEP 2017 00:09  Y  21843/2017  21 SEP 2017 00:09  Y "/>
    <s v="EGM No. EGM Date Container No. Seal No. Error Message_x000a_J207160709  2017-9-7 0.0.0.0  TCNU3029050  401092  N.A. "/>
    <s v="ROSL Availed Amount(INR) Scroll Number Scroll Date_x000a_N  0  ROSL NOT CLAIMED  ROSL NOT CLAIMED "/>
    <s v="GSTIN    -    27AXXXXXXXXR1ZF_x000a_Invoice Number Invoice Date IGST Paid(INR)_x000a_XXXXXXXXXXXX-18  2017-08-07  19042 "/>
    <x v="51"/>
    <x v="0"/>
  </r>
  <r>
    <x v="0"/>
    <n v="8173971"/>
    <s v="2017/08/22"/>
    <s v="IEC CHA No. Job No. Job Date Port of Discharge Total Package Gross Weight (Kg) FOB(INR) Total Cess (INR) Drawback STR Total (DBK+STR) CIN NO. CIN DT. Reward Flag_x000a_0504038966  AARPK1504ACH001  5540056  22 AUG 2017 12:08  DEHAM  2  660  193947.86  0  3879  0  3879  N.A.  N.A.  Click here to view item wise reward details "/>
    <s v="Current Que LEO Date EP Copy Print Status DBK Scroll No Scroll Date EGM Integration Status_x000a_HIST  24 AUG 2017 00:08  Y  21843/2017  21 SEP 2017 00:09  Y "/>
    <s v="EGM No. EGM Date Container No. Seal No. Error Message_x000a_T677920109  2017-9-1 0.0.0.0  CMAU0445325  400284  N.A. "/>
    <s v="ROSL Availed Amount(INR) Scroll Number Scroll Date_x000a_N  0  ROSL NOT CLAIMED  ROSL NOT CLAIMED "/>
    <s v="GSTIN    -    06AXXXXXXXXD1ZM_x000a_Invoice Number Invoice Date IGST Paid(INR)_x000a_XXX-02  2017-08-22  54305 "/>
    <x v="55"/>
    <x v="0"/>
  </r>
  <r>
    <x v="0"/>
    <n v="8180485"/>
    <s v="2017/08/23"/>
    <s v="IEC CHA No. Job No. Job Date Port of Discharge Total Package Gross Weight (Kg) FOB(INR) Total Cess (INR) Drawback STR Total (DBK+STR) CIN NO. CIN DT. Reward Flag_x000a_0505023954  AACFL6638BCH001  5547103  23 AUG 2017 12:08  BEANR  3  150  891549.91  0  0  0  0  N.A.  N.A.  Click here to view item wise reward details "/>
    <s v="Current Que LEO Date EP Copy Print Status DBK Scroll No Scroll Date EGM Integration Status_x000a_HIST  24 AUG 2017 00:08  Y  N.A.  N.A.  Y "/>
    <s v="EGM No. EGM Date Container No. Seal No. Error Message_x000a_R267422908  2017-8-29 0.0.0.0  WHLU5156390  400214  N.A. "/>
    <s v="ROSL Availed Amount(INR) Scroll Number Scroll Date_x000a_NULL  NULL  NULL  NULL "/>
    <s v="GSTIN    -    06AXXXXXXXXJ1ZG_x000a_Invoice Number Invoice Date IGST Paid(INR)_x000a_XXXXXXXXXX177  2017-08-22  190911 "/>
    <x v="2"/>
    <x v="1"/>
  </r>
  <r>
    <x v="0"/>
    <n v="8190870"/>
    <s v="2017/08/23"/>
    <s v="IEC CHA No. Job No. Job Date Port of Discharge Total Package Gross Weight (Kg) FOB(INR) Total Cess (INR) Drawback STR Total (DBK+STR) CIN NO. CIN DT. Reward Flag_x000a_0505000873  AOWPS6493KCH001  5558202  23 AUG 2017 12:08  MYPKG  4  3410  809907.53  0  16198  0  16198  N.A.  N.A.  Click here to view item wise reward details "/>
    <s v="Current Que LEO Date EP Copy Print Status DBK Scroll No Scroll Date EGM Integration Status_x000a_HIST  26 AUG 2017 00:08  Y  21843/2017  21 SEP 2017 00:09  Y "/>
    <s v="EGM No. EGM Date Container No. Seal No. Error Message_x000a_R507320309  2017-9-3 0.0.0.0  YMLU3007152  401008  N.A. "/>
    <s v="ROSL Availed Amount(INR) Scroll Number Scroll Date_x000a_N  0  ROSL NOT CLAIMED  ROSL NOT CLAIMED "/>
    <s v="GSTIN    -    07AXXXXXXXXB1ZS_x000a_Invoice Number Invoice Date IGST Paid(INR)_x000a_XXXXXXX017  2017-08-10  81770 "/>
    <x v="2"/>
    <x v="0"/>
  </r>
  <r>
    <x v="0"/>
    <n v="8201692"/>
    <s v="2017/08/24"/>
    <s v="IEC CHA No. Job No. Job Date Port of Discharge Total Package Gross Weight (Kg) FOB(INR) Total Cess (INR) Drawback STR Total (DBK+STR) CIN NO. CIN DT. Reward Flag_x000a_0507042034  AALFA6988NCH001  5569861  24 AUG 2017 12:08  ILASH  633  17406.6  2535422.66  0  38031  0  38031  N.A.  N.A.  Click here to view item wise reward details "/>
    <s v="Current Que LEO Date EP Copy Print Status DBK Scroll No Scroll Date EGM Integration Status_x000a_HIST  25 AUG 2017 00:08  Y  21652/2017  14 SEP 2017 00:09  Y "/>
    <s v="EGM No. EGM Date Container No. Seal No. Error Message_x000a_J247502908  2017-8-29 0.0.0.0  CRSU1065595  400161  N.A. "/>
    <s v="ROSL Availed Amount(INR) Scroll Number Scroll Date_x000a_N  0  ROSL NOT CLAIMED  ROSL NOT CLAIMED "/>
    <s v="GSTIN    -    06AXXXXXXXXC1ZF_x000a_Invoice Number Invoice Date IGST Paid(INR)_x000a_960  2017-08-22  471225 "/>
    <x v="56"/>
    <x v="0"/>
  </r>
  <r>
    <x v="0"/>
    <n v="8204016"/>
    <s v="2017/08/24"/>
    <s v="IEC CHA No. Job No. Job Date Port of Discharge Total Package Gross Weight (Kg) FOB(INR) Total Cess (INR) Drawback STR Total (DBK+STR) CIN NO. CIN DT. Reward Flag_x000a_0510085423  AHDPK8975CCH001  5572365  24 AUG 2017 12:08  LVRIX  16  148.8  36214.09  0  3220  0  3220  N.A.  N.A.  Click here to view item wise reward details "/>
    <s v="Current Que LEO Date EP Copy Print Status DBK Scroll No Scroll Date EGM Integration Status_x000a_HIST  26 AUG 2017 00:08  Y  21843/2017  21 SEP 2017 00:09  Y "/>
    <s v="EGM No. EGM Date Container No. Seal No. Error Message_x000a_T987883108  2017-8-31 0.0.0.0  FSCU9016795  400271  N.A. "/>
    <s v="ROSL Availed Amount(INR) Scroll Number Scroll Date_x000a_N  0  ROSL NOT CLAIMED  ROSL NOT CLAIMED "/>
    <s v="GSTIN    -    07AXXXXXXXXK1ZW_x000a_Invoice Number Invoice Date IGST Paid(INR)_x000a_XXXXXXXXXXXX-36  2017-08-21  4344 "/>
    <x v="2"/>
    <x v="0"/>
  </r>
  <r>
    <x v="0"/>
    <n v="8216051"/>
    <s v="2017/08/24"/>
    <s v="IEC CHA No. Job No. Job Date Port of Discharge Total Package Gross Weight (Kg) FOB(INR) Total Cess (INR) Drawback STR Total (DBK+STR) CIN NO. CIN DT. Reward Flag_x000a_AAKFN5762C  AADCA0273BCH001  5585306  24 AUG 2017 12:08  NZAKL  3  87  35214.75  0  0  0  0  N.A.  N.A.  Click here to view item wise reward details "/>
    <s v="Current Que LEO Date EP Copy Print Status DBK Scroll No Scroll Date EGM Integration Status_x000a_HIST  29 AUG 2017 00:08  Y  N.A.  N.A.  Y "/>
    <s v="EGM No. EGM Date Container No. Seal No. Error Message_x000a_R87120209  2017-9-2 0.0.0.0  TCNU9495631  401027  N.A. "/>
    <s v="ROSL Availed Amount(INR) Scroll Number Scroll Date_x000a_N  0  ROSL NOT CLAIMED  ROSL NOT CLAIMED "/>
    <s v="GSTIN    -    07AXXXXXXXXC1Z8_x000a_Invoice Number Invoice Date IGST Paid(INR)_x000a_XXI65  2017-08-03  3897 "/>
    <x v="57"/>
    <x v="0"/>
  </r>
  <r>
    <x v="0"/>
    <n v="8216744"/>
    <s v="2017/08/24"/>
    <s v="IEC CHA No. Job No. Job Date Port of Discharge Total Package Gross Weight (Kg) FOB(INR) Total Cess (INR) Drawback STR Total (DBK+STR) CIN NO. CIN DT. Reward Flag_x000a_0591046270  ADWPT4152FCH001  5585990  24 AUG 2017 12:08  NGAPP  541  40313  7116296.93  0  111917  0  111917  N.A.  N.A.  Click here to view item wise reward details "/>
    <s v="Current Que LEO Date EP Copy Print Status DBK Scroll No Scroll Date EGM Integration Status_x000a_HIST  04 SEP 2017 00:09  Y  21843/2017  21 SEP 2017 00:09  Y "/>
    <s v="EGM No. EGM Date Container No. Seal No. Error Message_x000a_R967440909  2017-9-9 0.0.0.0  TRHU2939342  401884  N.A. "/>
    <s v="ROSL Availed Amount(INR) Scroll Number Scroll Date_x000a_N  0  ROSL NOT CLAIMED  ROSL NOT CLAIMED "/>
    <s v="GSTIN    -    07AXXXXXXXXP1ZU_x000a_Invoice Number Invoice Date IGST Paid(INR)_x000a_XXXXXXXXXXX-18  2017-08-23  1499760 "/>
    <x v="58"/>
    <x v="0"/>
  </r>
  <r>
    <x v="0"/>
    <n v="8220992"/>
    <s v="2017/08/24"/>
    <s v="IEC CHA No. Job No. Job Date Port of Discharge Total Package Gross Weight (Kg) FOB(INR) Total Cess (INR) Drawback STR Total (DBK+STR) CIN NO. CIN DT. Reward Flag_x000a_0508074321  AAGCS0053ECH003  5590629  24 AUG 2017 12:08  KEMBA  714  23222  1050935.04  0  35668  0  35668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NYKU3374976  400579  N.A. "/>
    <s v="ROSL Availed Amount(INR) Scroll Number Scroll Date_x000a_N  0  ROSL NOT CLAIMED  ROSL NOT CLAIMED "/>
    <s v="GSTIN    -    07AXXXXXXXXB1ZP_x000a_Invoice Number Invoice Date IGST Paid(INR)_x000a_XXXXXX/17  2017-01-08  251223 "/>
    <x v="59"/>
    <x v="0"/>
  </r>
  <r>
    <x v="0"/>
    <n v="8222240"/>
    <s v="2017/08/24"/>
    <s v="IEC CHA No. Job No. Job Date Port of Discharge Total Package Gross Weight (Kg) FOB(INR) Total Cess (INR) Drawback STR Total (DBK+STR) CIN NO. CIN DT. Reward Flag_x000a_0510059732  ANQPS8605JCH001  5592172  24 AUG 2017 12:08  IRBND  28  222  233800.56  0  0  0  0  N.A.  N.A.  Click here to view item wise reward details "/>
    <s v="Current Que LEO Date EP Copy Print Status DBK Scroll No Scroll Date EGM Integration Status_x000a_HIST  26 AUG 2017 00:08  Y  N.A.  N.A.  Y "/>
    <s v="EGM No. EGM Date Container No. Seal No. Error Message_x000a_R577683008  2017-8-30 0.0.0.0  BAXU2611948  400226  N.A. "/>
    <s v="ROSL Availed Amount(INR) Scroll Number Scroll Date_x000a_NULL  NULL  NULL  NULL "/>
    <s v="GSTIN    -    07AXXXXXXXXK1ZY_x000a_Invoice Number Invoice Date IGST Paid(INR)_x000a_XXXXXXXX018  2017-08-16  42581 "/>
    <x v="60"/>
    <x v="1"/>
  </r>
  <r>
    <x v="0"/>
    <n v="8228343"/>
    <s v="2017/08/24"/>
    <s v="IEC CHA No. Job No. Job Date Port of Discharge Total Package Gross Weight (Kg) FOB(INR) Total Cess (INR) Drawback STR Total (DBK+STR) CIN NO. CIN DT. Reward Flag_x000a_0500075158  ADXPJ1610RCH001  5598583  24 AUG 2017 12:08  USBOS  13  138  352972.35  0  34354  0  34354  N.A.  N.A.  Click here to view item wise reward details "/>
    <s v="Current Que LEO Date EP Copy Print Status DBK Scroll No Scroll Date EGM Integration Status_x000a_HIST  26 AUG 2017 00:08  Y  24432/2018  25 MAR 2018 00:03  Y "/>
    <s v="EGM No. EGM Date Container No. Seal No. Error Message_x000a_J207823108  2017-8-31 0.0.0.0  OOCU6867324  400241  N.A. "/>
    <s v="ROSL Availed Amount(INR) Scroll Number Scroll Date_x000a_Y  9464  25934/2018  2018-3-20 0.0.0.0 "/>
    <s v="GSTIN    -    07AXXXXXXXXP3ZI_x000a_Invoice Number Invoice Date IGST Paid(INR)_x000a_XXXXXXXXXXXXXX-18  2017-07-25  17522 "/>
    <x v="61"/>
    <x v="2"/>
  </r>
  <r>
    <x v="0"/>
    <n v="8234289"/>
    <s v="2017/08/25"/>
    <s v="IEC CHA No. Job No. Job Date Port of Discharge Total Package Gross Weight (Kg) FOB(INR) Total Cess (INR) Drawback STR Total (DBK+STR) CIN NO. CIN DT. Reward Flag_x000a_0507001061  AAECB3928MCH001  5605058  25 AUG 2017 12:08  DKAAR  3  1170  370500  0  5250  0  5250  N.A.  N.A.  Click here to view item wise reward details "/>
    <s v="Current Que LEO Date EP Copy Print Status DBK Scroll No Scroll Date EGM Integration Status_x000a_HIST  29 AUG 2017 00:08  Y  21843/2017  21 SEP 2017 00:09  Y "/>
    <s v="EGM No. EGM Date Container No. Seal No. Error Message_x000a_R1477100209  2017-9-2 0.0.0.0  SUDU1912157  401025  N.A. "/>
    <s v="ROSL Availed Amount(INR) Scroll Number Scroll Date_x000a_N  0  ROSL NOT CLAIMED  ROSL NOT CLAIMED "/>
    <s v="GSTIN    -    09AXXXXXXXXC1ZH_x000a_Invoice Number Invoice Date IGST Paid(INR)_x000a_047  2017-08-21  75492 "/>
    <x v="55"/>
    <x v="0"/>
  </r>
  <r>
    <x v="0"/>
    <n v="8235656"/>
    <s v="2017/08/25"/>
    <s v="IEC CHA No. Job No. Job Date Port of Discharge Total Package Gross Weight (Kg) FOB(INR) Total Cess (INR) Drawback STR Total (DBK+STR) CIN NO. CIN DT. Reward Flag_x000a_0510064663  ADMPC7074KCH001  5606562  25 AUG 2017 12:08  ZAJNB  450  8262.5  3118443.14  0  279716  0  279716  N.A.  N.A.  Click here to view item wise reward details "/>
    <s v="Current Que LEO Date EP Copy Print Status DBK Scroll No Scroll Date EGM Integration Status_x000a_HIST  01 SEP 2017 00:09  Y  21843/2017  21 SEP 2017 00:09  Y "/>
    <s v="EGM No. EGM Date Container No. Seal No. Error Message_x000a_R487220809  2017-9-8 0.0.0.0  TCLU5962520  401218  N.A. "/>
    <s v="ROSL Availed Amount(INR) Scroll Number Scroll Date_x000a_Y  73774  25637/2017  2017-9-20 0.0.0.0 "/>
    <s v="GSTIN    -    07AXXXXXXXXL1ZD_x000a_Invoice Number Invoice Date IGST Paid(INR)_x000a_XXXXXXXXX017  2017-06-28  240204 "/>
    <x v="62"/>
    <x v="2"/>
  </r>
  <r>
    <x v="0"/>
    <n v="8239122"/>
    <s v="2017/08/25"/>
    <s v="IEC CHA No. Job No. Job Date Port of Discharge Total Package Gross Weight (Kg) FOB(INR) Total Cess (INR) Drawback STR Total (DBK+STR) CIN NO. CIN DT. Reward Flag_x000a_AAHCC0755A  BTLPP6279BCH001  5610323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39128"/>
    <s v="2017/08/25"/>
    <s v="IEC CHA No. Job No. Job Date Port of Discharge Total Package Gross Weight (Kg) FOB(INR) Total Cess (INR) Drawback STR Total (DBK+STR) CIN NO. CIN DT. Reward Flag_x000a_AAHCC0755A  BTLPP6279BCH001  5610310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39129"/>
    <s v="2017/08/25"/>
    <s v="IEC CHA No. Job No. Job Date Port of Discharge Total Package Gross Weight (Kg) FOB(INR) Total Cess (INR) Drawback STR Total (DBK+STR) CIN NO. CIN DT. Reward Flag_x000a_AAHCC0755A  BTLPP6279BCH001  5610328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41970"/>
    <s v="2017/08/25"/>
    <s v="IEC CHA No. Job No. Job Date Port of Discharge Total Package Gross Weight (Kg) FOB(INR) Total Cess (INR) Drawback STR Total (DBK+STR) CIN NO. CIN DT. Reward Flag_x000a_AAHCC0755A  BTLPP6279BCH001  5613414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s v="GSTIN    -    07AXXXXXXXXA1Z5_x000a_Invoice Number Invoice Date IGST Paid(INR)_x000a_XXXXXXXXXXXXX018  2017-08-23  334701 "/>
    <x v="63"/>
    <x v="2"/>
  </r>
  <r>
    <x v="0"/>
    <n v="8241971"/>
    <s v="2017/08/25"/>
    <s v="IEC CHA No. Job No. Job Date Port of Discharge Total Package Gross Weight (Kg) FOB(INR) Total Cess (INR) Drawback STR Total (DBK+STR) CIN NO. CIN DT. Reward Flag_x000a_AAHCC0755A  BTLPP6279BCH001  5613413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s v="GSTIN    -    07AXXXXXXXXA1Z5_x000a_Invoice Number Invoice Date IGST Paid(INR)_x000a_XXXXXXXXXXXXX018  2017-08-23  334701 "/>
    <x v="63"/>
    <x v="2"/>
  </r>
  <r>
    <x v="0"/>
    <n v="8241978"/>
    <s v="2017/08/25"/>
    <s v="IEC CHA No. Job No. Job Date Port of Discharge Total Package Gross Weight (Kg) FOB(INR) Total Cess (INR) Drawback STR Total (DBK+STR) CIN NO. CIN DT. Reward Flag_x000a_AAHCC0755A  BTLPP6279BCH001  5613421  25 AUG 2017 12:08  AEJEA  54  2268  6242185.62  0  611735  0  611735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187266  25635/2017  2017-9-15 0.0.0.0 "/>
    <s v="GSTIN    -    07AXXXXXXXXA1Z5_x000a_Invoice Number Invoice Date IGST Paid(INR)_x000a_XXXXXXXXXXXXX018  2017-08-23  312107 "/>
    <x v="63"/>
    <x v="2"/>
  </r>
  <r>
    <x v="0"/>
    <n v="8247826"/>
    <s v="2017/08/26"/>
    <s v="IEC CHA No. Job No. Job Date Port of Discharge Total Package Gross Weight (Kg) FOB(INR) Total Cess (INR) Drawback STR Total (DBK+STR) CIN NO. CIN DT. Reward Flag_x000a_0512081786  AAACT0334RCH001  5619782  26 AUG 2017 12:08  AEJEA  720  7632  692239.5  0  48457  0  48457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MRKU5421562  400543  N.A. "/>
    <s v="ROSL Availed Amount(INR) Scroll Number Scroll Date_x000a_N  0  ROSL NOT CLAIMED  ROSL NOT CLAIMED "/>
    <s v="GSTIN    -    07AXXXXXXXXC1ZP_x000a_Invoice Number Invoice Date IGST Paid(INR)_x000a_XXXXXXXXXXXXXX003  2017-08-24  130572 "/>
    <x v="64"/>
    <x v="0"/>
  </r>
  <r>
    <x v="0"/>
    <n v="8249349"/>
    <s v="2017/08/26"/>
    <s v="IEC CHA No. Job No. Job Date Port of Discharge Total Package Gross Weight (Kg) FOB(INR) Total Cess (INR) Drawback STR Total (DBK+STR) CIN NO. CIN DT. Reward Flag_x000a_0510056601  AAIPJ7016KCH001  5621469  26 AUG 2017 12:08  THLCH  1  880  624982.5  0  3320  0  3320  N.A.  N.A.  Click here to view item wise reward details "/>
    <s v="Current Que LEO Date EP Copy Print Status DBK Scroll No Scroll Date EGM Integration Status_x000a_HIST  30 AUG 2017 00:08  Y  21843/2017  21 SEP 2017 00:09  Y "/>
    <s v="EGM No. EGM Date Container No. Seal No. Error Message_x000a_J277920609  2017-9-6 0.0.0.0  GVCU2190150  404072  N.A. "/>
    <s v="ROSL Availed Amount(INR) Scroll Number Scroll Date_x000a_N  0  ROSL NOT CLAIMED  ROSL NOT CLAIMED "/>
    <s v="GSTIN    -    08AXXXXXXXXR1Z1_x000a_Invoice Number Invoice Date IGST Paid(INR)_x000a_XXXXXXXXXXXXXX010  2017-08-25  112496 "/>
    <x v="2"/>
    <x v="0"/>
  </r>
  <r>
    <x v="0"/>
    <n v="8263241"/>
    <s v="2017/08/26"/>
    <s v="IEC CHA No. Job No. Job Date Port of Discharge Total Package Gross Weight (Kg) FOB(INR) Total Cess (INR) Drawback STR Total (DBK+STR) CIN NO. CIN DT. Reward Flag_x000a_0592023052  AASPK9028QCH001  5636518  26 AUG 2017 12:08  THLCH  14  7652  809303.48  0  16186  0  16186  N.A.  N.A.  Click here to view item wise reward details "/>
    <s v="Current Que LEO Date EP Copy Print Status DBK Scroll No Scroll Date EGM Integration Status_x000a_HIST  30 AUG 2017 00:08  Y  21843/2017  21 SEP 2017 00:09  Y "/>
    <s v="EGM No. EGM Date Container No. Seal No. Error Message_x000a_R87120209  2017-9-2 0.0.0.0  TRHU1951343  401012  N.A. "/>
    <s v="ROSL Availed Amount(INR) Scroll Number Scroll Date_x000a_N  0  ROSL NOT CLAIMED  ROSL NOT CLAIMED "/>
    <s v="GSTIN    -    06AXXXXXXXXE1ZX_x000a_Invoice Number Invoice Date IGST Paid(INR)_x000a_XXXXXXXXXXXXXX-18  2017-08-25  226605 "/>
    <x v="2"/>
    <x v="0"/>
  </r>
  <r>
    <x v="0"/>
    <n v="8288523"/>
    <s v="2017/08/28"/>
    <s v="IEC CHA No. Job No. Job Date Port of Discharge Total Package Gross Weight (Kg) FOB(INR) Total Cess (INR) Drawback STR Total (DBK+STR) CIN NO. CIN DT. Reward Flag_x000a_0515069272  BTLPP6279BCH001  5663714  28 AUG 2017 12:08  AEJEA  75  1575  5756184  0  564106  0  564106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RKU3880984  400965  N.A. "/>
    <s v="ROSL Availed Amount(INR) Scroll Number Scroll Date_x000a_Y  172686  25635/2017  2017-9-15 0.0.0.0 "/>
    <s v="GSTIN    -    07AXXXXXXXXA1Z9_x000a_Invoice Number Invoice Date IGST Paid(INR)_x000a_XXXXXXXXXXXXX-18  2017-08-28  287808 "/>
    <x v="63"/>
    <x v="2"/>
  </r>
  <r>
    <x v="0"/>
    <n v="8290768"/>
    <s v="2017/08/28"/>
    <s v="IEC CHA No. Job No. Job Date Port of Discharge Total Package Gross Weight (Kg) FOB(INR) Total Cess (INR) Drawback STR Total (DBK+STR) CIN NO. CIN DT. Reward Flag_x000a_0517513668  BTLPP6279BCH001  5666170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s v="GSTIN    -    07AXXXXXXXXG1Z3_x000a_Invoice Number Invoice Date IGST Paid(INR)_x000a_XXXXXXXXXXXXX018  2017-08-28  345370 "/>
    <x v="63"/>
    <x v="2"/>
  </r>
  <r>
    <x v="0"/>
    <n v="8290787"/>
    <s v="2017/08/28"/>
    <s v="IEC CHA No. Job No. Job Date Port of Discharge Total Package Gross Weight (Kg) FOB(INR) Total Cess (INR) Drawback STR Total (DBK+STR) CIN NO. CIN DT. Reward Flag_x000a_0517513668  BTLPP6279BCH001  5666158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s v="GSTIN    -    07AXXXXXXXXG1Z3_x000a_Invoice Number Invoice Date IGST Paid(INR)_x000a_XXXXXXXXXXXXX018  2017-08-28  345370 "/>
    <x v="63"/>
    <x v="2"/>
  </r>
  <r>
    <x v="0"/>
    <n v="8304313"/>
    <s v="2017/08/29"/>
    <s v="IEC CHA No. Job No. Job Date Port of Discharge Total Package Gross Weight (Kg) FOB(INR) Total Cess (INR) Drawback STR Total (DBK+STR) CIN NO. CIN DT. Reward Flag_x000a_0505088681  AAJPM0767BCH001  5680836  29 AUG 2017 12:08  AEJEA  21  19494.6  6704608.94  0  70954  0  70954  N.A.  N.A.  Click here to view item wise reward details "/>
    <s v="Current Que LEO Date EP Copy Print Status DBK Scroll No Scroll Date EGM Integration Status_x000a_HIST  01 SEP 2017 00:09  Y  21843/2017  21 SEP 2017 00:09  Y "/>
    <s v="EGM No. EGM Date Container No. Seal No. Error Message_x000a_J477680509  2017-9-5 0.0.0.0  CRXU3303349  401228  N.A. "/>
    <s v="ROSL Availed Amount(INR) Scroll Number Scroll Date_x000a_N  0  ROSL NOT CLAIMED  ROSL NOT CLAIMED "/>
    <s v="GSTIN    -    09AXXXXXXXXG1Z5_x000a_Invoice Number Invoice Date IGST Paid(INR)_x000a_XXXXX931  2017-08-26  1880086 "/>
    <x v="65"/>
    <x v="0"/>
  </r>
  <r>
    <x v="0"/>
    <n v="8305029"/>
    <s v="2017/08/29"/>
    <s v="IEC CHA No. Job No. Job Date Port of Discharge Total Package Gross Weight (Kg) FOB(INR) Total Cess (INR) Drawback STR Total (DBK+STR) CIN NO. CIN DT. Reward Flag_x000a_0507062884  AYZPP5973GCH001  5681602  29 AUG 2017 12:08  BRSSZ  51  2986  1702937  0  34059  0  34059  N.A.  N.A.  Click here to view item wise reward details "/>
    <s v="Current Que LEO Date EP Copy Print Status DBK Scroll No Scroll Date EGM Integration Status_x000a_HIST  04 SEP 2017 00:09  Y  21843/2017  21 SEP 2017 00:09  Y "/>
    <s v="EGM No. EGM Date Container No. Seal No. Error Message_x000a_J477680509  2017-9-5 0.0.0.0  TRIU9841182  003229  N.A. "/>
    <s v="ROSL Availed Amount(INR) Scroll Number Scroll Date_x000a_N  0  ROSL NOT CLAIMED  ROSL NOT CLAIMED "/>
    <s v="GSTIN    -    09AXXXXXXXXJ1Z6_x000a_Invoice Number Invoice Date IGST Paid(INR)_x000a_XXXXXXXXXXX018  2017-08-26  306522 "/>
    <x v="66"/>
    <x v="0"/>
  </r>
  <r>
    <x v="0"/>
    <n v="8322996"/>
    <s v="2017/08/30"/>
    <s v="IEC CHA No. Job No. Job Date Port of Discharge Total Package Gross Weight (Kg) FOB(INR) Total Cess (INR) Drawback STR Total (DBK+STR) CIN NO. CIN DT. Reward Flag_x000a_0509003061  AAECB3928MCH001  5701029  30 AUG 2017 12:08  USCVG  4  640  337277.35  0  6746  0  6746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N  0  ROSL NOT CLAIMED  ROSL NOT CLAIMED "/>
    <s v="GSTIN    -    06AXXXXXXXXK1ZV_x000a_Invoice Number Invoice Date IGST Paid(INR)_x000a_XXXXXXXXXX070  2017-08-23  40091 _x000a_XXXXXXXXXX071  2017-08-23  54341 "/>
    <x v="67"/>
    <x v="0"/>
  </r>
  <r>
    <x v="0"/>
    <n v="8323127"/>
    <s v="2017/08/30"/>
    <s v="IEC CHA No. Job No. Job Date Port of Discharge Total Package Gross Weight (Kg) FOB(INR) Total Cess (INR) Drawback STR Total (DBK+STR) CIN NO. CIN DT. Reward Flag_x000a_2416910671  FHMPS1058ECH001  5701162  30 AUG 2017 12:08  USLUA  1  88.3  94223.25  0  0  0  0  N.A.  N.A.  Click here to view item wise reward details "/>
    <s v="Current Que LEO Date EP Copy Print Status DBK Scroll No Scroll Date EGM Integration Status_x000a_HIST  01 SEP 2017 00:09  Y  N.A.  N.A.  Y "/>
    <s v="EGM No. EGM Date Container No. Seal No. Error Message_x000a_J207160709  2017-9-7 0.0.0.0  NYKU5457534  401087  N.A. "/>
    <s v="ROSL Availed Amount(INR) Scroll Number Scroll Date_x000a_NULL  NULL  NULL  NULL "/>
    <s v="GSTIN    -    24AXXXXXXXXA1ZY_x000a_Invoice Number Invoice Date IGST Paid(INR)_x000a_23  2017-08-28  17510 "/>
    <x v="68"/>
    <x v="1"/>
  </r>
  <r>
    <x v="0"/>
    <n v="8325105"/>
    <s v="2017/08/30"/>
    <s v="IEC CHA No. Job No. Job Date Port of Discharge Total Package Gross Weight (Kg) FOB(INR) Total Cess (INR) Drawback STR Total (DBK+STR) CIN NO. CIN DT. Reward Flag_x000a_0595021255  AALCS5528DCH001  5703293  30 AUG 2017 12:08  MXZLO  6  3680  719776.8  0  14396  0  14396  N.A.  N.A.  Click here to view item wise reward details "/>
    <s v="Current Que LEO Date EP Copy Print Status DBK Scroll No Scroll Date EGM Integration Status_x000a_HIST  01 SEP 2017 00:09  Y  24432/2018  25 MAR 2018 00:03  Y "/>
    <s v="EGM No. EGM Date Container No. Seal No. Error Message_x000a_R1477641709  2017-9-17 0.0.0.0  TTNU9450840  402656  N.A. "/>
    <s v="ROSL Availed Amount(INR) Scroll Number Scroll Date_x000a_N  0  ROSL NOT CLAIMED  ROSL NOT CLAIMED "/>
    <s v="GSTIN    -    06AXXXXXXXXH1ZU_x000a_Invoice Number Invoice Date IGST Paid(INR)_x000a_XXXXXXXXXX-18  2017-08-29  129559 "/>
    <x v="69"/>
    <x v="0"/>
  </r>
  <r>
    <x v="0"/>
    <n v="8338701"/>
    <s v="2017/08/30"/>
    <s v="IEC CHA No. Job No. Job Date Port of Discharge Total Package Gross Weight (Kg) FOB(INR) Total Cess (INR) Drawback STR Total (DBK+STR) CIN NO. CIN DT. Reward Flag_x000a_1308012381  AEOPA9390KCH001  5718032  30 AUG 2017 12:08  JPNGY  2  496.5  770850  0  15417  0  15417  N.A.  N.A.  Click here to view item wise reward details "/>
    <s v="Current Que LEO Date EP Copy Print Status DBK Scroll No Scroll Date EGM Integration Status_x000a_HIST  01 SEP 2017 00:09  Y  21843/2017  21 SEP 2017 00:09  Y "/>
    <s v="EGM No. EGM Date Container No. Seal No. Error Message_x000a_TX187901209  2017-9-12 0.0.0.0  BMOU2854715  402096  N.A. "/>
    <s v="ROSL Availed Amount(INR) Scroll Number Scroll Date_x000a_N  0  ROSL NOT CLAIMED  ROSL NOT CLAIMED "/>
    <s v="GSTIN    -    08AXXXXXXXXR1ZR_x000a_Invoice Number Invoice Date IGST Paid(INR)_x000a_XXXXXXXXXXXXX113  2017-08-28  390656 "/>
    <x v="70"/>
    <x v="0"/>
  </r>
  <r>
    <x v="0"/>
    <n v="8338807"/>
    <s v="2017/08/30"/>
    <s v="IEC CHA No. Job No. Job Date Port of Discharge Total Package Gross Weight (Kg) FOB(INR) Total Cess (INR) Drawback STR Total (DBK+STR) CIN NO. CIN DT. Reward Flag_x000a_0516954725  AAACC6689ECH001  5718150  30 AUG 2017 12:08  OMSOH  10  335  310905  0  0  0  0  N.A.  N.A.  Click here to view item wise reward details "/>
    <s v="Current Que LEO Date EP Copy Print Status DBK Scroll No Scroll Date EGM Integration Status_x000a_HIST  05 SEP 2017 00:09  Y  N.A.  N.A.  Y "/>
    <s v="EGM No. EGM Date Container No. Seal No. Error Message_x000a_R587480909  2017-9-9 0.0.0.0  CAIU8999547  402029  N.A. "/>
    <s v="ROSL Availed Amount(INR) Scroll Number Scroll Date_x000a_NULL  NULL  NULL  NULL "/>
    <s v="GSTIN    -    07AXXXXXXXXH1ZZ_x000a_Invoice Number Invoice Date IGST Paid(INR)_x000a_XXXXXXXX154  2017-08-11  12420 "/>
    <x v="71"/>
    <x v="1"/>
  </r>
  <r>
    <x v="0"/>
    <n v="8338839"/>
    <s v="2017/08/30"/>
    <s v="IEC CHA No. Job No. Job Date Port of Discharge Total Package Gross Weight (Kg) FOB(INR) Total Cess (INR) Drawback STR Total (DBK+STR) CIN NO. CIN DT. Reward Flag_x000a_0592023052  AACCP0287DCH001  5718172  30 AUG 2017 12:08  USNNY  22  8958.4  1942666.42  0  38853  0  38853  N.A.  N.A.  Click here to view item wise reward details "/>
    <s v="Current Que LEO Date EP Copy Print Status DBK Scroll No Scroll Date EGM Integration Status_x000a_HIST  05 SEP 2017 00:09  Y  21843/2017  21 SEP 2017 00:09  Y "/>
    <s v="EGM No. EGM Date Container No. Seal No. Error Message_x000a_R917840609  2017-9-6 0.0.0.0  MSKU3385339  031724  N.A. "/>
    <s v="ROSL Availed Amount(INR) Scroll Number Scroll Date_x000a_N  0  ROSL NOT CLAIMED  ROSL NOT CLAIMED "/>
    <s v="GSTIN    -    06AXXXXXXXXE4ZU_x000a_Invoice Number Invoice Date IGST Paid(INR)_x000a_XXXXXXXXXXXXXX-18  2017-08-26  543895 "/>
    <x v="72"/>
    <x v="0"/>
  </r>
  <r>
    <x v="0"/>
    <n v="8340706"/>
    <s v="2017/08/30"/>
    <s v="IEC CHA No. Job No. Job Date Port of Discharge Total Package Gross Weight (Kg) FOB(INR) Total Cess (INR) Drawback STR Total (DBK+STR) CIN NO. CIN DT. Reward Flag_x000a_0507081668  AOFPS8466PCH001  5720175  30 AUG 2017 12:08  YEADE  5  84  670086.3  0  13245  0  13245  N.A.  N.A.  Click here to view item wise reward details "/>
    <s v="Current Que LEO Date EP Copy Print Status DBK Scroll No Scroll Date EGM Integration Status_x000a_HIST  06 SEP 2017 00:09  Y  21843/2017  21 SEP 2017 00:09  Y "/>
    <s v="EGM No. EGM Date Container No. Seal No. Error Message_x000a_T707360909  2017-9-9 0.0.0.0  CAXU9973575  402040  N.A. "/>
    <s v="ROSL Availed Amount(INR) Scroll Number Scroll Date_x000a_N  0  ROSL NOT CLAIMED  ROSL NOT CLAIMED "/>
    <s v="GSTIN    -    07AXXXXXXXXK1Z3_x000a_Invoice Number Invoice Date IGST Paid(INR)_x000a_XXXXXXX010  2017-08-30  122178 "/>
    <x v="73"/>
    <x v="0"/>
  </r>
  <r>
    <x v="0"/>
    <n v="8348694"/>
    <s v="2017/08/31"/>
    <s v="IEC CHA No. Job No. Job Date Port of Discharge Total Package Gross Weight (Kg) FOB(INR) Total Cess (INR) Drawback STR Total (DBK+STR) CIN NO. CIN DT. Reward Flag_x000a_0595012647  AAACC6689ECH001  5728705  31 AUG 2017 12:08  PKKHI  3464  46749  7708850.14  0  115633  0  115633  N.A.  N.A.  Click here to view item wise reward details "/>
    <s v="Current Que LEO Date EP Copy Print Status DBK Scroll No Scroll Date EGM Integration Status_x000a_HIST  08 SEP 2017 00:09  Y  21843/2017  21 SEP 2017 00:09  Y "/>
    <s v="EGM No. EGM Date Container No. Seal No. Error Message_x000a_R587480909  2017-9-9 0.0.0.0  BMOU6357717  001864  N.A. "/>
    <s v="ROSL Availed Amount(INR) Scroll Number Scroll Date_x000a_N  0  ROSL NOT CLAIMED  ROSL NOT CLAIMED "/>
    <s v="GSTIN    -    07AXXXXXXXXB1ZR_x000a_Invoice Number Invoice Date IGST Paid(INR)_x000a_XXXXXXXXX/18  2017-08-30  925056 "/>
    <x v="53"/>
    <x v="0"/>
  </r>
  <r>
    <x v="0"/>
    <n v="8361009"/>
    <s v="2017/08/31"/>
    <s v="IEC CHA No. Job No. Job Date Port of Discharge Total Package Gross Weight (Kg) FOB(INR) Total Cess (INR) Drawback STR Total (DBK+STR) CIN NO. CIN DT. Reward Flag_x000a_0500075158  ADXPJ1610RCH001  5741989  31 AUG 2017 12:08  USBOS  9  122  157324.28  0  12113  0  12113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Y  5034  25637/2017  2017-9-20 0.0.0.0 "/>
    <s v="GSTIN    -    07AXXXXXXXXP3ZI_x000a_Invoice Number Invoice Date IGST Paid(INR)_x000a_XXXXXXXXXXXXXX-18  2017-08-10  7809 "/>
    <x v="67"/>
    <x v="2"/>
  </r>
  <r>
    <x v="0"/>
    <n v="8371290"/>
    <s v="2017/08/31"/>
    <s v="IEC CHA No. Job No. Job Date Port of Discharge Total Package Gross Weight (Kg) FOB(INR) Total Cess (INR) Drawback STR Total (DBK+STR) CIN NO. CIN DT. Reward Flag_x000a_0508073324  AAACG3100CCH001  5753042  31 AUG 2017 12:08  NLRTM  64  713.19  1076457.37  0  19714  0  19714  N.A.  N.A.  Click here to view item wise reward details "/>
    <s v="Current Que LEO Date EP Copy Print Status DBK Scroll No Scroll Date EGM Integration Status_x000a_HIST  04 SEP 2017 00:09  Y  21843/2017  21 SEP 2017 00:09  Y "/>
    <s v="EGM No. EGM Date Container No. Seal No. Error Message_x000a_R827781109  2017-9-11 0.0.0.0  GLDU5619874  402076  N.A. "/>
    <s v="ROSL Availed Amount(INR) Scroll Number Scroll Date_x000a_N  0  ROSL NOT CLAIMED  ROSL NOT CLAIMED "/>
    <s v="GSTIN    -    09AXXXXXXXXD2Z7_x000a_Invoice Number Invoice Date IGST Paid(INR)_x000a_XXXXXXXX-18  2017-08-08  2073 "/>
    <x v="74"/>
    <x v="0"/>
  </r>
  <r>
    <x v="0"/>
    <n v="8375057"/>
    <s v="2017/08/31"/>
    <s v="IEC CHA No. Job No. Job Date Port of Discharge Total Package Gross Weight (Kg) FOB(INR) Total Cess (INR) Drawback STR Total (DBK+STR) CIN NO. CIN DT. Reward Flag_x000a_0506035182  AFYPK1878FCH001  5757084  31 AUG 2017 12:08  IRBND  536  6822.1  1774782.75  0  26622  0  26622  N.A.  N.A.  Click here to view item wise reward details "/>
    <s v="Current Que LEO Date EP Copy Print Status DBK Scroll No Scroll Date EGM Integration Status_x000a_HIST  07 SEP 2017 00:09  Y  21843/2017  21 SEP 2017 00:09  Y "/>
    <s v="EGM No. EGM Date Container No. Seal No. Error Message_x000a_R717581009  2017-9-10 0.0.0.0  TSAU2702857  402113  N.A. "/>
    <s v="ROSL Availed Amount(INR) Scroll Number Scroll Date_x000a_N  0  ROSL NOT CLAIMED  ROSL NOT CLAIMED "/>
    <s v="GSTIN    -    07AXXXXXXXXL1ZB_x000a_Invoice Number Invoice Date IGST Paid(INR)_x000a_XXXXXXXXXXX017  2017-08-28  213152 "/>
    <x v="34"/>
    <x v="0"/>
  </r>
  <r>
    <x v="0"/>
    <n v="8395136"/>
    <s v="2017/09/01"/>
    <s v="IEC CHA No. Job No. Job Date Port of Discharge Total Package Gross Weight (Kg) FOB(INR) Total Cess (INR) Drawback STR Total (DBK+STR) CIN NO. CIN DT. Reward Flag_x000a_0597069948  AAAFJ1721HCH058  5778787  01 SEP 2017 12:09  DKCPH  1  26.5  127452  0  0  0  0  N.A.  N.A.  Click here to view item wise reward details "/>
    <s v="Current Que LEO Date EP Copy Print Status DBK Scroll No Scroll Date EGM Integration Status_x000a_HIST  05 SEP 2017 00:09  Y  N.A.  N.A.  Y "/>
    <s v="EGM No. EGM Date Container No. Seal No. Error Message_x000a_R1117461609  2017-9-16 0.0.0.0  HASU4843951  402672  N.A. "/>
    <s v="ROSL Availed Amount(INR) Scroll Number Scroll Date_x000a_N  0  ROSL NOT CLAIMED  ROSL NOT CLAIMED "/>
    <s v="GSTIN    -    07AXXXXXXXXD1ZG_x000a_Invoice Number Invoice Date IGST Paid(INR)_x000a_XXXXXXXXXX/18  2017-08-25  23374 "/>
    <x v="75"/>
    <x v="0"/>
  </r>
  <r>
    <x v="0"/>
    <n v="8395644"/>
    <s v="2017/09/01"/>
    <s v="IEC CHA No. Job No. Job Date Port of Discharge Total Package Gross Weight (Kg) FOB(INR) Total Cess (INR) Drawback STR Total (DBK+STR) CIN NO. CIN DT. Reward Flag_x000a_1308012381  AADCS9253MCH002  5779425  01 SEP 2017 12:09  DEHAM  131  11339  14020763.33  0  280415  0  280415  N.A.  N.A.  Click here to view item wise reward details "/>
    <s v="Current Que LEO Date EP Copy Print Status DBK Scroll No Scroll Date EGM Integration Status_x000a_HIST  06 SEP 2017 00:09  Y  21843/2017  21 SEP 2017 00:09  Y "/>
    <s v="EGM No. EGM Date Container No. Seal No. Error Message_x000a_T987040709  2017-9-7 0.0.0.0  TCLU5779294  014691  N.A. "/>
    <s v="ROSL Availed Amount(INR) Scroll Number Scroll Date_x000a_N  0  ROSL NOT CLAIMED  ROSL NOT CLAIMED "/>
    <s v="GSTIN    -    08AXXXXXXXXR1ZR_x000a_Invoice Number Invoice Date IGST Paid(INR)_x000a_XXXXXXXXXXXXXX115  2017-08-30  3925803 "/>
    <x v="76"/>
    <x v="0"/>
  </r>
  <r>
    <x v="0"/>
    <n v="8398137"/>
    <s v="2017/09/01"/>
    <s v="IEC CHA No. Job No. Job Date Port of Discharge Total Package Gross Weight (Kg) FOB(INR) Total Cess (INR) Drawback STR Total (DBK+STR) CIN NO. CIN DT. Reward Flag_x000a_0509056105  AHVPD5199DCH001  5782425  01 SEP 2017 12:09  PLGDY  1  420  188434.82  0  3769  0  3769  N.A.  N.A.  Click here to view item wise reward details "/>
    <s v="Current Que LEO Date EP Copy Print Status DBK Scroll No Scroll Date EGM Integration Status_x000a_HIST  07 SEP 2017 00:09  Y  21843/2017  21 SEP 2017 00:09  Y "/>
    <s v="EGM No. EGM Date Container No. Seal No. Error Message_x000a_R827781109  2017-9-11 0.0.0.0  BAXU5005517  402092  N.A. "/>
    <s v="ROSL Availed Amount(INR) Scroll Number Scroll Date_x000a_N  0  ROSL NOT CLAIMED  ROSL NOT CLAIMED "/>
    <s v="GSTIN    -    06AXXXXXXXXQ1ZK_x000a_Invoice Number Invoice Date IGST Paid(INR)_x000a_XXXX868  2017-08-21  33918 "/>
    <x v="2"/>
    <x v="0"/>
  </r>
  <r>
    <x v="0"/>
    <n v="8411392"/>
    <s v="2017/09/02"/>
    <s v="IEC CHA No. Job No. Job Date Port of Discharge Total Package Gross Weight (Kg) FOB(INR) Total Cess (INR) Drawback STR Total (DBK+STR) CIN NO. CIN DT. Reward Flag_x000a_0512072388  AHVPD5199DCH001  5796038  02 SEP 2017 12:09  ZWHRE  271  6053  547672.48  0  0  0  0  N.A.  N.A.  Click here to view item wise reward details "/>
    <s v="Current Que LEO Date EP Copy Print Status DBK Scroll No Scroll Date EGM Integration Status_x000a_HIST  15 SEP 2017 00:09  Y  N.A.  N.A.  Y "/>
    <s v="EGM No. EGM Date Container No. Seal No. Error Message_x000a_J477982609  2017-9-26 0.0.0.0  SEGU1281597  404224  N.A. "/>
    <s v="ROSL Availed Amount(INR) Scroll Number Scroll Date_x000a_NULL  NULL  NULL  NULL "/>
    <s v="GSTIN    -    07AXXXXXXXXF1Z0_x000a_Invoice Number Invoice Date IGST Paid(INR)_x000a_XXXXXXXXX-18  2017-09-01  103520 "/>
    <x v="2"/>
    <x v="1"/>
  </r>
  <r>
    <x v="0"/>
    <n v="8424214"/>
    <s v="2017/09/04"/>
    <s v="IEC CHA No. Job No. Job Date Port of Discharge Total Package Gross Weight (Kg) FOB(INR) Total Cess (INR) Drawback STR Total (DBK+STR) CIN NO. CIN DT. Reward Flag_x000a_0311014879  BEVPS0859HCH001  5809753  04 SEP 2017 12:09  DEHAM  579  8625  1037597.5  0  0  0  0  N.A.  N.A.  Click here to view item wise reward details "/>
    <s v="Current Que LEO Date EP Copy Print Status DBK Scroll No Scroll Date EGM Integration Status_x000a_HIST  05 SEP 2017 00:09  Y  N.A.  N.A.  Y "/>
    <s v="EGM No. EGM Date Container No. Seal No. Error Message_x000a_R687621009  2017-9-10 0.0.0.0  CAXU8041890  402039  N.A. "/>
    <s v="ROSL Availed Amount(INR) Scroll Number Scroll Date_x000a_NULL  NULL  NULL  NULL "/>
    <s v="GSTIN    -    27AXXXXXXXXE1ZE_x000a_Invoice Number Invoice Date IGST Paid(INR)_x000a_XXXXXXXX-18  2017-08-24  303975 "/>
    <x v="77"/>
    <x v="1"/>
  </r>
  <r>
    <x v="0"/>
    <n v="8424711"/>
    <s v="2017/09/04"/>
    <s v="IEC CHA No. Job No. Job Date Port of Discharge Total Package Gross Weight (Kg) FOB(INR) Total Cess (INR) Drawback STR Total (DBK+STR) CIN NO. CIN DT. Reward Flag_x000a_0505000873  AOWPS6493KCH001  5810306  04 SEP 2017 12:09  THBKK  3  2335  718793.33  0  14376  0  14376  N.A.  N.A.  Click here to view item wise reward details "/>
    <s v="Current Que LEO Date EP Copy Print Status DBK Scroll No Scroll Date EGM Integration Status_x000a_HIST  05 SEP 2017 00:09  Y  21843/2017  21 SEP 2017 00:09  Y "/>
    <s v="EGM No. EGM Date Container No. Seal No. Error Message_x000a_R857260809  2017-9-8 0.0.0.0  BMOU6363160  402005  N.A. "/>
    <s v="ROSL Availed Amount(INR) Scroll Number Scroll Date_x000a_N  0  ROSL NOT CLAIMED  ROSL NOT CLAIMED "/>
    <s v="GSTIN    -    07AXXXXXXXXB1ZS_x000a_Invoice Number Invoice Date IGST Paid(INR)_x000a_XXXXXXX017  2017-08-31  96678 "/>
    <x v="78"/>
    <x v="0"/>
  </r>
  <r>
    <x v="0"/>
    <n v="8425293"/>
    <s v="2017/09/04"/>
    <s v="IEC CHA No. Job No. Job Date Port of Discharge Total Package Gross Weight (Kg) FOB(INR) Total Cess (INR) Drawback STR Total (DBK+STR) CIN NO. CIN DT. Reward Flag_x000a_0516900692  AATPS3087NCH001  5810930  04 SEP 2017 12:09  VNSGN  29  300.7  617495.4  0  9262  0  9262  N.A.  N.A.  Click here to view item wise reward details "/>
    <s v="Current Que LEO Date EP Copy Print Status DBK Scroll No Scroll Date EGM Integration Status_x000a_HIST  14 SEP 2017 00:09  Y  21907/2017  26 SEP 2017 00:09  Y "/>
    <s v="EGM No. EGM Date Container No. Seal No. Error Message_x000a_R577102009  2017-9-20 0.0.0.0  FCIU8912801  403359  N.A. "/>
    <s v="ROSL Availed Amount(INR) Scroll Number Scroll Date_x000a_N  0  ROSL NOT CLAIMED  ROSL NOT CLAIMED "/>
    <s v="GSTIN    -    08AXXXXXXXXF1ZL_x000a_Invoice Number Invoice Date IGST Paid(INR)_x000a_XXXXXXX-18  2017-08-29  72207 "/>
    <x v="79"/>
    <x v="0"/>
  </r>
  <r>
    <x v="0"/>
    <n v="8439375"/>
    <s v="2017/09/04"/>
    <s v="IEC CHA No. Job No. Job Date Port of Discharge Total Package Gross Weight (Kg) FOB(INR) Total Cess (INR) Drawback STR Total (DBK+STR) CIN NO. CIN DT. Reward Flag_x000a_AAHCC0755A  BTLPP6279BCH001  5826161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7  N.A. "/>
    <s v="ROSL Availed Amount(INR) Scroll Number Scroll Date_x000a_Y  207223  25637/2017  2017-9-20 0.0.0.0 "/>
    <s v="GSTIN    -    07AXXXXXXXXA1Z5_x000a_Invoice Number Invoice Date IGST Paid(INR)_x000a_XXXXXXXXXXXXX018  2017-09-04  345370 "/>
    <x v="80"/>
    <x v="2"/>
  </r>
  <r>
    <x v="0"/>
    <n v="8439383"/>
    <s v="2017/09/04"/>
    <s v="IEC CHA No. Job No. Job Date Port of Discharge Total Package Gross Weight (Kg) FOB(INR) Total Cess (INR) Drawback STR Total (DBK+STR) CIN NO. CIN DT. Reward Flag_x000a_AAHCC0755A  BTLPP6279BCH001  5826172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9  N.A. "/>
    <s v="ROSL Availed Amount(INR) Scroll Number Scroll Date_x000a_Y  207223  25637/2017  2017-9-20 0.0.0.0 "/>
    <s v="GSTIN    -    07AXXXXXXXXA1Z5_x000a_Invoice Number Invoice Date IGST Paid(INR)_x000a_XXXXXXXXXXXXX018  2017-09-04  345370 "/>
    <x v="80"/>
    <x v="2"/>
  </r>
  <r>
    <x v="0"/>
    <n v="8439422"/>
    <s v="2017/09/04"/>
    <s v="IEC CHA No. Job No. Job Date Port of Discharge Total Package Gross Weight (Kg) FOB(INR) Total Cess (INR) Drawback STR Total (DBK+STR) CIN NO. CIN DT. Reward Flag_x000a_AABCZ1026D  BTLPP6279BCH001  5826209  04 SEP 2017 12:09  AEJEA  84  1764  6849858.96  0  671286  0  671286  N.A.  N.A.  Click here to view item wise reward details "/>
    <s v="Current Que LEO Date EP Copy Print Status DBK Scroll No Scroll Date EGM Integration Status_x000a_HIST  05 SEP 2017 00:09  Y  21843/2017  21 SEP 2017 00:09  Y "/>
    <s v="EGM No. EGM Date Container No. Seal No. Error Message_x000a_R887140709  2017-9-7 0.0.0.0  MSKU1820720  401844  N.A. "/>
    <s v="ROSL Availed Amount(INR) Scroll Number Scroll Date_x000a_Y  205496  25637/2017  2017-9-20 0.0.0.0 "/>
    <s v="GSTIN    -    07AXXXXXXXXD1ZS_x000a_Invoice Number Invoice Date IGST Paid(INR)_x000a_XXXXXXXXXXXXX018  2017-09-04  342492 "/>
    <x v="80"/>
    <x v="2"/>
  </r>
  <r>
    <x v="0"/>
    <n v="8452436"/>
    <s v="2017/09/05"/>
    <s v="IEC CHA No. Job No. Job Date Port of Discharge Total Package Gross Weight (Kg) FOB(INR) Total Cess (INR) Drawback STR Total (DBK+STR) CIN NO. CIN DT. Reward Flag_x000a_0616907401  AACCP0287DCH001  5840247  05 SEP 2017 12:09  CAVAN  11  231.71  54380  0  816  0  816  N.A.  N.A.  Click here to view item wise reward details "/>
    <s v="Current Que LEO Date EP Copy Print Status DBK Scroll No Scroll Date EGM Integration Status_x000a_HIST  12 SEP 2017 00:09  Y  22032/2017  06 OCT 2017 00:10  Y "/>
    <s v="EGM No. EGM Date Container No. Seal No. Error Message_x000a_R137262109  2017-9-21 0.0.0.0  DFSU2836647  403366  N.A. "/>
    <s v="ROSL Availed Amount(INR) Scroll Number Scroll Date_x000a_N  0  ROSL NOT CLAIMED  ROSL NOT CLAIMED "/>
    <s v="GSTIN    -    09BXXXXXXXXJ1ZL_x000a_Invoice Number Invoice Date IGST Paid(INR)_x000a_XXXXXXXXX018  2017-08-28  15226 "/>
    <x v="81"/>
    <x v="0"/>
  </r>
  <r>
    <x v="0"/>
    <n v="8457825"/>
    <s v="2017/09/05"/>
    <s v="IEC CHA No. Job No. Job Date Port of Discharge Total Package Gross Weight (Kg) FOB(INR) Total Cess (INR) Drawback STR Total (DBK+STR) CIN NO. CIN DT. Reward Flag_x000a_0516517431  AAEFH1939HCH001  5846093  05 SEP 2017 12:09  ILHFA  4  3346  308969.78  0  6179  0  6179  N.A.  N.A.  Click here to view item wise reward details "/>
    <s v="Current Que LEO Date EP Copy Print Status DBK Scroll No Scroll Date EGM Integration Status_x000a_HIST  08 SEP 2017 00:09  Y  21843/2017  21 SEP 2017 00:09  Y "/>
    <s v="EGM No. EGM Date Container No. Seal No. Error Message_x000a_R827781109  2017-9-11 0.0.0.0  IRNU4551480  402099  N.A. "/>
    <s v="ROSL Availed Amount(INR) Scroll Number Scroll Date_x000a_N  0  ROSL NOT CLAIMED  ROSL NOT CLAIMED "/>
    <s v="GSTIN    -    07BXXXXXXXXB1Z1_x000a_Invoice Number Invoice Date IGST Paid(INR)_x000a_XXXXXXXXXXXXXX-18  2017-09-01  55614 "/>
    <x v="2"/>
    <x v="0"/>
  </r>
  <r>
    <x v="0"/>
    <n v="8462659"/>
    <s v="2017/09/05"/>
    <s v="IEC CHA No. Job No. Job Date Port of Discharge Total Package Gross Weight (Kg) FOB(INR) Total Cess (INR) Drawback STR Total (DBK+STR) CIN NO. CIN DT. Reward Flag_x000a_0507023722  AANPA2304GCH001  5851341  05 SEP 2017 12:09  LKCMB  42  1060  277911  0  0  0  0  N.A.  N.A.  Click here to view item wise reward details "/>
    <s v="Current Que LEO Date EP Copy Print Status DBK Scroll No Scroll Date EGM Integration Status_x000a_HIST  06 SEP 2017 00:09  Y  N.A.  N.A.  Y "/>
    <s v="EGM No. EGM Date Container No. Seal No. Error Message_x000a_T707360909  2017-9-9 0.0.0.0  BEAU4624635  402036  N.A. "/>
    <s v="ROSL Availed Amount(INR) Scroll Number Scroll Date_x000a_NULL  NULL  NULL  NULL "/>
    <s v="GSTIN    -    07AXXXXXXXXB1ZM_x000a_Invoice Number Invoice Date IGST Paid(INR)_x000a_XXXXXXXXXX/05  2017-09-05  50021 "/>
    <x v="51"/>
    <x v="1"/>
  </r>
  <r>
    <x v="0"/>
    <n v="8466834"/>
    <s v="2017/09/05"/>
    <s v="IEC CHA No. Job No. Job Date Port of Discharge Total Package Gross Weight (Kg) FOB(INR) Total Cess (INR) Drawback STR Total (DBK+STR) CIN NO. CIN DT. Reward Flag_x000a_0592023052  AMJPS3049QCH001  5855797  05 SEP 2017 12:09  CNSHA  17  7530  2354180.27  0  47084  0  47084  N.A.  N.A.  Click here to view item wise reward details "/>
    <s v="Current Que LEO Date EP Copy Print Status DBK Scroll No Scroll Date EGM Integration Status_x000a_HIST  06 SEP 2017 00:09  Y  21843/2017  21 SEP 2017 00:09  Y "/>
    <s v="EGM No. EGM Date Container No. Seal No. Error Message_x000a_J207160709  2017-9-7 0.0.0.0  HLBU1502918  000515  N.A. "/>
    <s v="ROSL Availed Amount(INR) Scroll Number Scroll Date_x000a_N  0  ROSL NOT CLAIMED  ROSL NOT CLAIMED "/>
    <s v="GSTIN    -    06AXXXXXXXXE4ZU_x000a_Invoice Number Invoice Date IGST Paid(INR)_x000a_XXXXXXXXXXXXXX017  2017-08-29  659169 "/>
    <x v="82"/>
    <x v="0"/>
  </r>
  <r>
    <x v="0"/>
    <n v="8469058"/>
    <s v="2017/09/05"/>
    <s v="IEC CHA No. Job No. Job Date Port of Discharge Total Package Gross Weight (Kg) FOB(INR) Total Cess (INR) Drawback STR Total (DBK+STR) CIN NO. CIN DT. Reward Flag_x000a_0594004373  AAHCR2213ACH001  5858203  05 SEP 2017 12:09  AEJEA  228  5415.465  840043.1  0  12781  0  12781  N.A.  N.A.  Click here to view item wise reward details "/>
    <s v="Current Que LEO Date EP Copy Print Status DBK Scroll No Scroll Date EGM Integration Status_x000a_HIST  08 SEP 2017 00:09  Y  21843/2017  21 SEP 2017 00:09  Y "/>
    <s v="EGM No. EGM Date Container No. Seal No. Error Message_x000a_T417981309  2017-9-13 0.0.0.0  BAXU5064802  402212  N.A. "/>
    <s v="ROSL Availed Amount(INR) Scroll Number Scroll Date_x000a_N  0  ROSL NOT CLAIMED  ROSL NOT CLAIMED "/>
    <s v="GSTIN    -    07AXXXXXXXXN1ZK_x000a_Invoice Number Invoice Date IGST Paid(INR)_x000a_XXXXXXXXXXXXXX-18  2017-09-04  145607 "/>
    <x v="83"/>
    <x v="0"/>
  </r>
  <r>
    <x v="0"/>
    <n v="8471397"/>
    <s v="2017/09/05"/>
    <s v="IEC CHA No. Job No. Job Date Port of Discharge Total Package Gross Weight (Kg) FOB(INR) Total Cess (INR) Drawback STR Total (DBK+STR) CIN NO. CIN DT. Reward Flag_x000a_0504016865  AADCA0273BCH001  5860740  05 SEP 2017 12:09  SEHEL  784  3292.8  964054.86  0  0  0  0  N.A.  N.A.  Click here to view item wise reward details "/>
    <s v="Current Que LEO Date EP Copy Print Status DBK Scroll No Scroll Date EGM Integration Status_x000a_HIST  11 SEP 2017 00:09  Y  N.A.  N.A.  Y "/>
    <s v="EGM No. EGM Date Container No. Seal No. Error Message_x000a_R517202109  2017-9-21 0.0.0.0  APZU3002351  402539  N.A. "/>
    <s v="ROSL Availed Amount(INR) Scroll Number Scroll Date_x000a_NULL  NULL  NULL  NULL "/>
    <s v="GSTIN    -    06AXXXXXXXXJ1ZG_x000a_Invoice Number Invoice Date IGST Paid(INR)_x000a_XXXX009  2017-08-28  115686 "/>
    <x v="58"/>
    <x v="1"/>
  </r>
  <r>
    <x v="0"/>
    <n v="8483178"/>
    <s v="2017/09/06"/>
    <s v="IEC CHA No. Job No. Job Date Port of Discharge Total Package Gross Weight (Kg) FOB(INR) Total Cess (INR) Drawback STR Total (DBK+STR) CIN NO. CIN DT. Reward Flag_x000a_0504064754  FHMPS1058ECH001  5873427  06 SEP 2017 12:09  LKCMB  8  485  724814.73  0  14351  0  14351  N.A.  N.A.  Click here to view item wise reward details "/>
    <s v="Current Que LEO Date EP Copy Print Status DBK Scroll No Scroll Date EGM Integration Status_x000a_HIST  08 SEP 2017 00:09  Y  21843/2017  21 SEP 2017 00:09  Y "/>
    <s v="EGM No. EGM Date Container No. Seal No. Error Message_x000a_T707121409  2017-9-14 0.0.0.0  BEAU4623808  402610  N.A. "/>
    <s v="ROSL Availed Amount(INR) Scroll Number Scroll Date_x000a_N  0  ROSL NOT CLAIMED  ROSL NOT CLAIMED "/>
    <s v="GSTIN    -    09AXXXXXXXXP2ZF_x000a_Invoice Number Invoice Date IGST Paid(INR)_x000a_XXXXXXXXX/17  2017-08-26  36232 "/>
    <x v="84"/>
    <x v="0"/>
  </r>
  <r>
    <x v="0"/>
    <n v="8486246"/>
    <s v="2017/09/06"/>
    <s v="IEC CHA No. Job No. Job Date Port of Discharge Total Package Gross Weight (Kg) FOB(INR) Total Cess (INR) Drawback STR Total (DBK+STR) CIN NO. CIN DT. Reward Flag_x000a_0507062884  AYZPP5973GCH001  5876744  06 SEP 2017 12:09  BRSSZ  50  2011  814769.5  0  16295  0  16295  N.A.  N.A.  Click here to view item wise reward details "/>
    <s v="Current Que LEO Date EP Copy Print Status DBK Scroll No Scroll Date EGM Integration Status_x000a_HIST  07 SEP 2017 00:09  Y  21843/2017  21 SEP 2017 00:09  Y "/>
    <s v="EGM No. EGM Date Container No. Seal No. Error Message_x000a_R667380909  2017-9-9 0.0.0.0  INKU6640898  003234  N.A. "/>
    <s v="ROSL Availed Amount(INR) Scroll Number Scroll Date_x000a_N  0  ROSL NOT CLAIMED  ROSL NOT CLAIMED "/>
    <s v="GSTIN    -    09AXXXXXXXXJ1Z6_x000a_Invoice Number Invoice Date IGST Paid(INR)_x000a_XXXXXXXXXXX018  2017-09-04  146655 "/>
    <x v="66"/>
    <x v="0"/>
  </r>
  <r>
    <x v="0"/>
    <n v="8488643"/>
    <s v="2017/09/06"/>
    <s v="IEC CHA No. Job No. Job Date Port of Discharge Total Package Gross Weight (Kg) FOB(INR) Total Cess (INR) Drawback STR Total (DBK+STR) CIN NO. CIN DT. Reward Flag_x000a_0516502832  AHDPK8975CCH001  5879330  06 SEP 2017 12:09  USOLI  316  2642.9  1929772.11  0  17921  0  17921  N.A.  N.A.  Click here to view item wise reward details "/>
    <s v="Current Que LEO Date EP Copy Print Status DBK Scroll No Scroll Date EGM Integration Status_x000a_HIST  08 SEP 2017 00:09  Y  24432/2018  25 MAR 2018 00:03  Y "/>
    <s v="EGM No. EGM Date Container No. Seal No. Error Message_x000a_R917401509  2017-9-15 0.0.0.0  TCNU4310695  402647  N.A. "/>
    <s v="ROSL Availed Amount(INR) Scroll Number Scroll Date_x000a_Y  7168  32661/2019  2019-2-8 0.0.0.0 "/>
    <s v="GSTIN    -    09AXXXXXXXXA1ZJ_x000a_Invoice Number Invoice Date IGST Paid(INR)_x000a_XXXXXXXXXXXXXX8/2  2017-08-10  96485 "/>
    <x v="85"/>
    <x v="2"/>
  </r>
  <r>
    <x v="0"/>
    <n v="8493626"/>
    <s v="2017/09/06"/>
    <s v="IEC CHA No. Job No. Job Date Port of Discharge Total Package Gross Weight (Kg) FOB(INR) Total Cess (INR) Drawback STR Total (DBK+STR) CIN NO. CIN DT. Reward Flag_x000a_3311006062  AHDPK8975CCH001  5884732  06 SEP 2017 12:09  CLSCL  40  249.02  465723  0  0  0  0  N.A.  N.A.  Click here to view item wise reward details "/>
    <s v="Current Que LEO Date EP Copy Print Status DBK Scroll No Scroll Date EGM Integration Status_x000a_HIST  11 SEP 2017 00:09  Y  N.A.  N.A.  Y "/>
    <s v="EGM No. EGM Date Container No. Seal No. Error Message_x000a_R1107481609  2017-9-16 0.0.0.0  KMTU7228639  402645  N.A. "/>
    <s v="ROSL Availed Amount(INR) Scroll Number Scroll Date_x000a_NULL  NULL  NULL  NULL "/>
    <s v="GSTIN    -    09AXXXXXXXXB1ZS_x000a_Invoice Number Invoice Date IGST Paid(INR)_x000a_XXXXXXXXXXX-18  2017-08-28  13952 "/>
    <x v="86"/>
    <x v="1"/>
  </r>
  <r>
    <x v="0"/>
    <n v="8502112"/>
    <s v="2017/09/07"/>
    <s v="IEC CHA No. Job No. Job Date Port of Discharge Total Package Gross Weight (Kg) FOB(INR) Total Cess (INR) Drawback STR Total (DBK+STR) CIN NO. CIN DT. Reward Flag_x000a_0512059152  AASPK9028QCH001  5893896  07 SEP 2017 12:09  AEDXB  43  1335  314838.9  0  22790  0  22790  N.A.  N.A.  Click here to view item wise reward details "/>
    <s v="Current Que LEO Date EP Copy Print Status DBK Scroll No Scroll Date EGM Integration Status_x000a_HIST  12 SEP 2017 00:09  Y  21843/2017  21 SEP 2017 00:09  Y "/>
    <s v="EGM No. EGM Date Container No. Seal No. Error Message_x000a_R667781809  2017-9-18 0.0.0.0  CRXU3033449  403319  N.A. "/>
    <s v="ROSL Availed Amount(INR) Scroll Number Scroll Date_x000a_N  0  ROSL NOT CLAIMED  ROSL NOT CLAIMED "/>
    <s v="GSTIN    -    07AXXXXXXXXP1ZN_x000a_Invoice Number Invoice Date IGST Paid(INR)_x000a_XXXXXXXXXXX-18  2017-09-06  196598 "/>
    <x v="34"/>
    <x v="0"/>
  </r>
  <r>
    <x v="0"/>
    <n v="8513208"/>
    <s v="2017/09/07"/>
    <s v="IEC CHA No. Job No. Job Date Port of Discharge Total Package Gross Weight (Kg) FOB(INR) Total Cess (INR) Drawback STR Total (DBK+STR) CIN NO. CIN DT. Reward Flag_x000a_0505032473  BEEPS0785MCH001  5905863  07 SEP 2017 12:09  DEHAM  40  1150  411255  0  4113  0  4113  N.A.  N.A.  Click here to view item wise reward details "/>
    <s v="Current Que LEO Date EP Copy Print Status DBK Scroll No Scroll Date EGM Integration Status_x000a_HIST  13 SEP 2017 00:09  Y  22032/2017  06 OCT 2017 00:10  Y "/>
    <s v="EGM No. EGM Date Container No. Seal No. Error Message_x000a_R777282109  2017-9-21 0.0.0.0  TGHU9884825  403376  N.A. "/>
    <s v="ROSL Availed Amount(INR) Scroll Number Scroll Date_x000a_N  0  ROSL NOT CLAIMED  ROSL NOT CLAIMED "/>
    <s v="GSTIN    -    06AXXXXXXXXN1ZC_x000a_Invoice Number Invoice Date IGST Paid(INR)_x000a_XXXXXXXX005  2017-09-06  20576 "/>
    <x v="87"/>
    <x v="0"/>
  </r>
  <r>
    <x v="0"/>
    <n v="8528718"/>
    <s v="2017/09/08"/>
    <s v="IEC CHA No. Job No. Job Date Port of Discharge Total Package Gross Weight (Kg) FOB(INR) Total Cess (INR) Drawback STR Total (DBK+STR) CIN NO. CIN DT. Reward Flag_x000a_AAKFD0331P  AMAPS8772KCH001  5922687  08 SEP 2017 12:09  DEHAM  1  275  234025  0  0  0  0  N.A.  N.A.  Click here to view item wise reward details "/>
    <s v="Current Que LEO Date EP Copy Print Status DBK Scroll No Scroll Date EGM Integration Status_x000a_HIST  14 SEP 2017 00:09  Y  N.A.  N.A.  Y "/>
    <s v="EGM No. EGM Date Container No. Seal No. Error Message_x000a_R367602309  2017-9-23 0.0.0.0  CAIU7114563  403933  N.A. "/>
    <s v="ROSL Availed Amount(INR) Scroll Number Scroll Date_x000a_NULL  NULL  NULL  NULL "/>
    <s v="GSTIN    -    03AXXXXXXXXP1ZK_x000a_Invoice Number Invoice Date IGST Paid(INR)_x000a_XE/2  2017-09-06  42767 "/>
    <x v="58"/>
    <x v="1"/>
  </r>
  <r>
    <x v="0"/>
    <n v="8533887"/>
    <s v="2017/09/08"/>
    <s v="IEC CHA No. Job No. Job Date Port of Discharge Total Package Gross Weight (Kg) FOB(INR) Total Cess (INR) Drawback STR Total (DBK+STR) CIN NO. CIN DT. Reward Flag_x000a_0512067872  AAJCA1821BCH001  5928204  08 SEP 2017 12:09  GBSOU  3  526.52  564076.95  0  7166  0  7166  N.A.  N.A.  Click here to view item wise reward details "/>
    <s v="Current Que LEO Date EP Copy Print Status DBK Scroll No Scroll Date EGM Integration Status_x000a_HIST  12 SEP 2017 00:09  Y  21843/2017  21 SEP 2017 00:09  Y "/>
    <s v="EGM No. EGM Date Container No. Seal No. Error Message_x000a_R157821809  2017-9-18 0.0.0.0  INKU6262099  403336  N.A. "/>
    <s v="ROSL Availed Amount(INR) Scroll Number Scroll Date_x000a_N  0  ROSL NOT CLAIMED  ROSL NOT CLAIMED "/>
    <s v="GSTIN    -    06AXXXXXXXXR1ZU_x000a_Invoice Number Invoice Date IGST Paid(INR)_x000a_XXXXXXXXXXXXXX-18  2017-09-06  126045 "/>
    <x v="88"/>
    <x v="0"/>
  </r>
  <r>
    <x v="0"/>
    <n v="8551635"/>
    <s v="2017/09/09"/>
    <s v="IEC CHA No. Job No. Job Date Port of Discharge Total Package Gross Weight (Kg) FOB(INR) Total Cess (INR) Drawback STR Total (DBK+STR) CIN NO. CIN DT. Reward Flag_x000a_0511087098  AAACE2126JCH014  5947300  09 SEP 2017 12:09  LKCMB  38  596  144590.77  0  0  0  0  N.A.  N.A.  Click here to view item wise reward details "/>
    <s v="Current Que LEO Date EP Copy Print Status DBK Scroll No Scroll Date EGM Integration Status_x000a_HIST  13 SEP 2017 00:09  Y  N.A.  N.A.  Y "/>
    <s v="EGM No. EGM Date Container No. Seal No. Error Message_x000a_R157821809  2017-9-18 0.0.0.0  CCLU6335831  403325  N.A. "/>
    <s v="ROSL Availed Amount(INR) Scroll Number Scroll Date_x000a_NULL  NULL  NULL  NULL "/>
    <s v="GSTIN    -    09AXXXXXXXXP1ZN_x000a_Invoice Number Invoice Date IGST Paid(INR)_x000a_XX/04  2017-09-08  41022 "/>
    <x v="2"/>
    <x v="1"/>
  </r>
  <r>
    <x v="0"/>
    <n v="8576060"/>
    <s v="2017/09/11"/>
    <s v="IEC CHA No. Job No. Job Date Port of Discharge Total Package Gross Weight (Kg) FOB(INR) Total Cess (INR) Drawback STR Total (DBK+STR) CIN NO. CIN DT. Reward Flag_x000a_3104003254  AAACA3307KCH003  5973357  11 SEP 2017 12:09  USSTL  1  190  194114.25  0  3882  0  3882  N.A.  N.A.  Click here to view item wise reward details "/>
    <s v="Current Que LEO Date EP Copy Print Status DBK Scroll No Scroll Date EGM Integration Status_x000a_HIST  13 SEP 2017 00:09  Y  21843/2017  21 SEP 2017 00:09  Y "/>
    <s v="EGM No. EGM Date Container No. Seal No. Error Message_x000a_R1117461609  2017-9-16 0.0.0.0  NYKU4408134  402667  N.A. "/>
    <s v="ROSL Availed Amount(INR) Scroll Number Scroll Date_x000a_N  0  ROSL NOT CLAIMED  ROSL NOT CLAIMED "/>
    <s v="GSTIN    -    27AXXXXXXXXR1ZF_x000a_Invoice Number Invoice Date IGST Paid(INR)_x000a_XXXXXXXXXXXX-18  2017-09-04  8950 "/>
    <x v="89"/>
    <x v="0"/>
  </r>
  <r>
    <x v="0"/>
    <n v="8579468"/>
    <s v="2017/09/11"/>
    <s v="IEC CHA No. Job No. Job Date Port of Discharge Total Package Gross Weight (Kg) FOB(INR) Total Cess (INR) Drawback STR Total (DBK+STR) CIN NO. CIN DT. Reward Flag_x000a_0589053850  AMJPS3049QCH001  5977016  11 SEP 2017 12:09  EGSOK  15  6472  938063.28  0  18761  0  18761  N.A.  N.A.  Click here to view item wise reward details "/>
    <s v="Current Que LEO Date EP Copy Print Status DBK Scroll No Scroll Date EGM Integration Status_x000a_HIST  14 SEP 2017 00:09  Y  21843/2017  21 SEP 2017 00:09  Y "/>
    <s v="EGM No. EGM Date Container No. Seal No. Error Message_x000a_R917401509  2017-9-15 0.0.0.0  TCNU3705026  000111  N.A. "/>
    <s v="ROSL Availed Amount(INR) Scroll Number Scroll Date_x000a_N  0  ROSL NOT CLAIMED  ROSL NOT CLAIMED "/>
    <s v="GSTIN    -    06AXXXXXXXXM1ZZ_x000a_Invoice Number Invoice Date IGST Paid(INR)_x000a_045  2017-08-17  168843 "/>
    <x v="90"/>
    <x v="0"/>
  </r>
  <r>
    <x v="0"/>
    <n v="8581999"/>
    <s v="2017/09/11"/>
    <s v="IEC CHA No. Job No. Job Date Port of Discharge Total Package Gross Weight (Kg) FOB(INR) Total Cess (INR) Drawback STR Total (DBK+STR) CIN NO. CIN DT. Reward Flag_x000a_0515060291  AABCS2867DCH001  5979721  11 SEP 2017 12:09  PLGDY  25  295  189750  0  6732  0  6732  N.A.  N.A.  Click here to view item wise reward details "/>
    <s v="Current Que LEO Date EP Copy Print Status DBK Scroll No Scroll Date EGM Integration Status_x000a_HIST  15 SEP 2017 00:09  Y  22032/2017  06 OCT 2017 00:10  Y "/>
    <s v="EGM No. EGM Date Container No. Seal No. Error Message_x000a_R137262109  2017-9-21 0.0.0.0  VSTU9000234  403375  N.A. "/>
    <s v="ROSL Availed Amount(INR) Scroll Number Scroll Date_x000a_N  0  ROSL NOT CLAIMED  ROSL NOT CLAIMED "/>
    <s v="GSTIN    -    07AXXXXXXXXM1ZZ_x000a_Invoice Number Invoice Date IGST Paid(INR)_x000a_XXXXXXXXXXXXXX-18  2017-09-04  53296 "/>
    <x v="91"/>
    <x v="0"/>
  </r>
  <r>
    <x v="0"/>
    <n v="8584007"/>
    <s v="2017/09/11"/>
    <s v="IEC CHA No. Job No. Job Date Port of Discharge Total Package Gross Weight (Kg) FOB(INR) Total Cess (INR) Drawback STR Total (DBK+STR) CIN NO. CIN DT. Reward Flag_x000a_0507051360  AAAFJ1721HCH058  5981869  11 SEP 2017 12:09  THBKK  2  300  378785.28  0  7576  0  7576  N.A.  N.A.  Click here to view item wise reward details "/>
    <s v="Warehouse Code Warehouse Name Current Que Current Status Appraising Date A.C(APR) A.C(APR) Date Exam Mark ID Mark Date_x000a_N.A.  EXPORT W/H  DBK_SUP  To Be Processed For DBK  N.A.  N.A.  N.A.  10026238  13 SEP 2017 14:09 _x000a_  Insp/E.O EXAM DATE Supdt/A.O.Id DBK A.C ID DBK A.C ID Date DBK Supdt. ID DBK Supdt. Date DEPB Supdt DEPB Supdt Date_x000a_10036893  13 SEP 2017 00:09  10042017  N.A.  N.A.  N.A.  N.A.  N.A.  N.A. _x000a_  DEPB Lic DEPB Lic Date Sample Drawn Test Report LEO Date EP Copy Print Status Print Status DBK Scroll No Scroll Date EGM Integration Status_x000a_N.A.  N.A.  N.A.  N.A.  13 SEP 2017 00:09  Y  Y  N.A.  N.A.  Y "/>
    <s v="EGM No. EGM Date Container No. Seal No. Error Message_x000a_R157821809  2017-9-18 0.0.0.0  CCLU6335831  403325  N.A. "/>
    <s v="ROSL Availed Amount(INR) Scroll Number Scroll Date_x000a_N  0  ROSL NOT CLAIMED  ROSL NOT CLAIMED "/>
    <s v="GSTIN    -    06AXXXXXXXXR2ZO_x000a_Invoice Number Invoice Date IGST Paid(INR)_x000a_XXXXXXXXXXXXXXP80  2017-09-11  106770 "/>
    <x v="92"/>
    <x v="0"/>
  </r>
  <r>
    <x v="0"/>
    <n v="8584704"/>
    <s v="2017/09/11"/>
    <s v="IEC CHA No. Job No. Job Date Port of Discharge Total Package Gross Weight (Kg) FOB(INR) Total Cess (INR) Drawback STR Total (DBK+STR) CIN NO. CIN DT. Reward Flag_x000a_0507023722  AANPA2304GCH001  5982604  11 SEP 2017 12:09  LKCMB  20  505  136145.63  0  0  0  0  N.A.  N.A.  Click here to view item wise reward details "/>
    <s v="Current Que LEO Date EP Copy Print Status DBK Scroll No Scroll Date EGM Integration Status_x000a_HIST  15 SEP 2017 00:09  Y  N.A.  N.A.  Y "/>
    <s v="EGM No. EGM Date Container No. Seal No. Error Message_x000a_T257542209  2017-9-22 0.0.0.0  ZCSU8532458  403390  N.A. "/>
    <s v="ROSL Availed Amount(INR) Scroll Number Scroll Date_x000a_NULL  NULL  NULL  NULL "/>
    <s v="GSTIN    -    07AXXXXXXXXB1ZM_x000a_Invoice Number Invoice Date IGST Paid(INR)_x000a_XXXXXXXXXX/06  2017-09-11  24505 "/>
    <x v="93"/>
    <x v="1"/>
  </r>
  <r>
    <x v="0"/>
    <n v="8600398"/>
    <s v="2017/09/12"/>
    <s v="IEC CHA No. Job No. Job Date Port of Discharge Total Package Gross Weight (Kg) FOB(INR) Total Cess (INR) Drawback STR Total (DBK+STR) CIN NO. CIN DT. Reward Flag_x000a_0506004830  AAJCA1821BCH001  5999477  12 SEP 2017 12:09  LKCMB  10  246  426937.5  0  6053  0  6053  N.A.  N.A.  Click here to view item wise reward details "/>
    <s v="Current Que LEO Date EP Copy Print Status DBK Scroll No Scroll Date EGM Integration Status_x000a_HIST  13 SEP 2017 00:09  Y  21843/2017  21 SEP 2017 00:09  Y "/>
    <s v="EGM No. EGM Date Container No. Seal No. Error Message_x000a_R157821809  2017-9-18 0.0.0.0  CCLU6335831  403325  N.A. "/>
    <s v="ROSL Availed Amount(INR) Scroll Number Scroll Date_x000a_N  0  ROSL NOT CLAIMED  ROSL NOT CLAIMED "/>
    <s v="GSTIN    -    07AXXXXXXXXK1ZF_x000a_Invoice Number Invoice Date IGST Paid(INR)_x000a_10  2017-09-11  120960 "/>
    <x v="2"/>
    <x v="0"/>
  </r>
  <r>
    <x v="0"/>
    <n v="8602587"/>
    <s v="2017/09/12"/>
    <s v="IEC CHA No. Job No. Job Date Port of Discharge Total Package Gross Weight (Kg) FOB(INR) Total Cess (INR) Drawback STR Total (DBK+STR) CIN NO. CIN DT. Reward Flag_x000a_1314000233  AAFCK0712RCH001  6001781  12 SEP 2017 12:09  ZADUR  12  5468  1151276.76  0  14152  0  14152  N.A.  N.A.  Click here to view item wise reward details "/>
    <s v="Current Que LEO Date EP Copy Print Status DBK Scroll No Scroll Date EGM Integration Status_x000a_HIST  14 SEP 2017 00:09  Y  22032/2017  06 OCT 2017 00:10  Y "/>
    <s v="EGM No. EGM Date Container No. Seal No. Error Message_x000a_R137262109  2017-9-21 0.0.0.0  PONU2056658  403381  N.A. "/>
    <s v="ROSL Availed Amount(INR) Scroll Number Scroll Date_x000a_N  0  ROSL NOT CLAIMED  ROSL NOT CLAIMED "/>
    <s v="GSTIN    -    08AXXXXXXXXR1ZP_x000a_Invoice Number Invoice Date IGST Paid(INR)_x000a_XXXXXX-24  2017-09-05  322355 "/>
    <x v="94"/>
    <x v="0"/>
  </r>
  <r>
    <x v="0"/>
    <n v="8605254"/>
    <s v="2017/09/12"/>
    <s v="IEC CHA No. Job No. Job Date Port of Discharge Total Package Gross Weight (Kg) FOB(INR) Total Cess (INR) Drawback STR Total (DBK+STR) CIN NO. CIN DT. Reward Flag_x000a_0515920274  AAAFO0713CCH001  6004661  12 SEP 2017 12:09  ESBCN  3  199  209411.84  0  0  0  0  N.A.  N.A.  Click here to view item wise reward details "/>
    <s v="Current Que LEO Date EP Copy Print Status DBK Scroll No Scroll Date EGM Integration Status_x000a_HIST  14 SEP 2017 00:09  Y  N.A.  N.A.  Y "/>
    <s v="EGM No. EGM Date Container No. Seal No. Error Message_x000a_J277642309  2017-9-23 0.0.0.0  DFSU2494143  403925  N.A. "/>
    <s v="ROSL Availed Amount(INR) Scroll Number Scroll Date_x000a_NULL  NULL  NULL  NULL "/>
    <s v="GSTIN    -    07AXXXXXXXXC1ZB_x000a_Invoice Number Invoice Date IGST Paid(INR)_x000a_XXXXXXXXXXXRTS  2017-09-06  28364 "/>
    <x v="95"/>
    <x v="1"/>
  </r>
  <r>
    <x v="0"/>
    <n v="8607213"/>
    <s v="2017/09/12"/>
    <s v="IEC CHA No. Job No. Job Date Port of Discharge Total Package Gross Weight (Kg) FOB(INR) Total Cess (INR) Drawback STR Total (DBK+STR) CIN NO. CIN DT. Reward Flag_x000a_0513013261  AABCS7195NCH001  6006790  12 SEP 2017 12:09  AEJEA  10  307.8  111952.5  0  1679  0  1679  N.A.  N.A.  Click here to view item wise reward details "/>
    <s v="Current Que LEO Date EP Copy Print Status DBK Scroll No Scroll Date EGM Integration Status_x000a_HIST  21 SEP 2017 00:09  Y  22374/2017  31 OCT 2017 00:10  Y "/>
    <s v="EGM No. EGM Date Container No. Seal No. Error Message_x000a_T437022609  2017-9-26 0.0.0.0  BLJU4450787  403977  N.A. "/>
    <s v="ROSL Availed Amount(INR) Scroll Number Scroll Date_x000a_N  0  ROSL NOT CLAIMED  ROSL NOT CLAIMED "/>
    <s v="GSTIN    -    09AXXXXXXXXA1Z8_x000a_Invoice Number Invoice Date IGST Paid(INR)_x000a_02  2017-09-11  20794 "/>
    <x v="96"/>
    <x v="0"/>
  </r>
  <r>
    <x v="0"/>
    <n v="8607674"/>
    <s v="2017/09/12"/>
    <s v="IEC CHA No. Job No. Job Date Port of Discharge Total Package Gross Weight (Kg) FOB(INR) Total Cess (INR) Drawback STR Total (DBK+STR) CIN NO. CIN DT. Reward Flag_x000a_0709012331  AACCN5026ECH007  6007285  12 SEP 2017 12:09  PACFZ  7  4045  1844633.12  0  36893  0  36893  N.A.  N.A.  Click here to view item wise reward details "/>
    <s v="Current Que LEO Date EP Copy Print Status DBK Scroll No Scroll Date EGM Integration Status_x000a_HIST  14 SEP 2017 00:09  Y  24432/2018  25 MAR 2018 00:03  Y "/>
    <s v="EGM No. EGM Date Container No. Seal No. Error Message_x000a_R157821809  2017-9-18 0.0.0.0  TRLU6853517  403326  N.A. "/>
    <s v="ROSL Availed Amount(INR) Scroll Number Scroll Date_x000a_N  0  ROSL NOT CLAIMED  ROSL NOT CLAIMED "/>
    <s v="GSTIN    -    06AXXXXXXXXD1Z8_x000a_Invoice Number Invoice Date IGST Paid(INR)_x000a_XXXXXXXXXXXXXX030  2017-09-11  341891 "/>
    <x v="2"/>
    <x v="0"/>
  </r>
  <r>
    <x v="0"/>
    <n v="8608392"/>
    <s v="2017/09/12"/>
    <s v="IEC CHA No. Job No. Job Date Port of Discharge Total Package Gross Weight (Kg) FOB(INR) Total Cess (INR) Drawback STR Total (DBK+STR) CIN NO. CIN DT. Reward Flag_x000a_AAECE6932C  BTLPP6279BCH001  6008035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s v="GSTIN    -    07AXXXXXXXXC1ZV_x000a_Invoice Number Invoice Date IGST Paid(INR)_x000a_XXXXXXXXXXXXX018  2017-09-11  315592 "/>
    <x v="97"/>
    <x v="2"/>
  </r>
  <r>
    <x v="0"/>
    <n v="8608445"/>
    <s v="2017/09/12"/>
    <s v="IEC CHA No. Job No. Job Date Port of Discharge Total Package Gross Weight (Kg) FOB(INR) Total Cess (INR) Drawback STR Total (DBK+STR) CIN NO. CIN DT. Reward Flag_x000a_AAECE6932C  BTLPP6279BCH001  6008096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s v="GSTIN    -    07AXXXXXXXXC1ZV_x000a_Invoice Number Invoice Date IGST Paid(INR)_x000a_XXXXXXXXXXXXX018  2017-09-11  305072 "/>
    <x v="97"/>
    <x v="2"/>
  </r>
  <r>
    <x v="0"/>
    <n v="8608455"/>
    <s v="2017/09/12"/>
    <s v="IEC CHA No. Job No. Job Date Port of Discharge Total Package Gross Weight (Kg) FOB(INR) Total Cess (INR) Drawback STR Total (DBK+STR) CIN NO. CIN DT. Reward Flag_x000a_AAECE6932C  BTLPP6279BCH001  6008090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s v="GSTIN    -    07AXXXXXXXXC1ZV_x000a_Invoice Number Invoice Date IGST Paid(INR)_x000a_XXXXXXXXXXXXX018  2017-09-11  315592 "/>
    <x v="97"/>
    <x v="2"/>
  </r>
  <r>
    <x v="0"/>
    <n v="8608463"/>
    <s v="2017/09/12"/>
    <s v="IEC CHA No. Job No. Job Date Port of Discharge Total Package Gross Weight (Kg) FOB(INR) Total Cess (INR) Drawback STR Total (DBK+STR) CIN NO. CIN DT. Reward Flag_x000a_AAECE6932C  BTLPP6279BCH001  6008120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s v="GSTIN    -    07AXXXXXXXXC1ZV_x000a_Invoice Number Invoice Date IGST Paid(INR)_x000a_XXXXXXXXXXXXX018  2017-09-11  305072 "/>
    <x v="97"/>
    <x v="2"/>
  </r>
  <r>
    <x v="0"/>
    <n v="8608521"/>
    <s v="2017/09/12"/>
    <s v="IEC CHA No. Job No. Job Date Port of Discharge Total Package Gross Weight (Kg) FOB(INR) Total Cess (INR) Drawback STR Total (DBK+STR) CIN NO. CIN DT. Reward Flag_x000a_AAECE6932C  BTLPP6279BCH001  6008163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9355  25637/2017  2017-9-20 0.0.0.0 "/>
    <s v="GSTIN    -    07AXXXXXXXXC1ZV_x000a_Invoice Number Invoice Date IGST Paid(INR)_x000a_XXXXXXXXXXXXX018  2017-09-11  315592 "/>
    <x v="97"/>
    <x v="2"/>
  </r>
  <r>
    <x v="0"/>
    <n v="8610604"/>
    <s v="2017/09/12"/>
    <s v="IEC CHA No. Job No. Job Date Port of Discharge Total Package Gross Weight (Kg) FOB(INR) Total Cess (INR) Drawback STR Total (DBK+STR) CIN NO. CIN DT. Reward Flag_x000a_0595012647  AAACC6689ECH001  6010406  12 SEP 2017 12:09  PKKHI  3138  47059  7890078.87  0  118351  0  118351  N.A.  N.A.  Click here to view item wise reward details "/>
    <s v="Current Que LEO Date EP Copy Print Status DBK Scroll No Scroll Date EGM Integration Status_x000a_HIST  18 SEP 2017 00:09  Y  22032/2017  06 OCT 2017 00:10  Y "/>
    <s v="EGM No. EGM Date Container No. Seal No. Error Message_x000a_TX227302109  2017-9-21 0.0.0.0  SEGU5562627  001866  N.A. "/>
    <s v="ROSL Availed Amount(INR) Scroll Number Scroll Date_x000a_N  0  ROSL NOT CLAIMED  ROSL NOT CLAIMED "/>
    <s v="GSTIN    -    07AXXXXXXXXB1ZR_x000a_Invoice Number Invoice Date IGST Paid(INR)_x000a_XXXXXXXXX-18  2017-09-12  946804 "/>
    <x v="98"/>
    <x v="0"/>
  </r>
  <r>
    <x v="0"/>
    <n v="8612296"/>
    <s v="2017/09/12"/>
    <s v="IEC CHA No. Job No. Job Date Port of Discharge Total Package Gross Weight (Kg) FOB(INR) Total Cess (INR) Drawback STR Total (DBK+STR) CIN NO. CIN DT. Reward Flag_x000a_0511063865  ARPPK3328RCH001  6012243  12 SEP 2017 12:09  IDJKT  1  35  17068.65  0  0  0  0  N.A.  N.A.  Click here to view item wise reward details "/>
    <s v="Current Que LEO Date EP Copy Print Status DBK Scroll No Scroll Date EGM Integration Status_x000a_HIST  14 SEP 2017 00:09  Y  N.A.  N.A.  Y "/>
    <s v="EGM No. EGM Date Container No. Seal No. Error Message_x000a_R157821809  2017-9-18 0.0.0.0  WHLU5173740  403333  N.A. "/>
    <s v="ROSL Availed Amount(INR) Scroll Number Scroll Date_x000a_NULL  NULL  NULL  NULL "/>
    <s v="GSTIN    -    06AXXXXXXXXB1ZW_x000a_Invoice Number Invoice Date IGST Paid(INR)_x000a_XXXXXX338  2017-09-12  5036 "/>
    <x v="92"/>
    <x v="1"/>
  </r>
  <r>
    <x v="0"/>
    <n v="8615986"/>
    <s v="2017/09/12"/>
    <s v="IEC CHA No. Job No. Job Date Port of Discharge Total Package Gross Weight (Kg) FOB(INR) Total Cess (INR) Drawback STR Total (DBK+STR) CIN NO. CIN DT. Reward Flag_x000a_0598059113  AASPK9028QCH001  6016290  12 SEP 2017 12:09  TZDAR  845  10250  1390057.9  0  97304  0  97304  N.A.  N.A.  Click here to view item wise reward details "/>
    <s v="Current Que LEO Date EP Copy Print Status DBK Scroll No Scroll Date EGM Integration Status_x000a_HIST  16 SEP 2017 00:09  Y  22032/2017  06 OCT 2017 00:10  Y "/>
    <s v="EGM No. EGM Date Container No. Seal No. Error Message_x000a_R777282109  2017-9-21 0.0.0.0  MSCU3061583  403622  N.A. "/>
    <s v="ROSL Availed Amount(INR) Scroll Number Scroll Date_x000a_N  0  ROSL NOT CLAIMED  ROSL NOT CLAIMED "/>
    <s v="GSTIN    -    07AXXXXXXXXL1ZI_x000a_Invoice Number Invoice Date IGST Paid(INR)_x000a_XXXXXXXXXXXX/33  2017-09-06  171626 "/>
    <x v="99"/>
    <x v="0"/>
  </r>
  <r>
    <x v="0"/>
    <n v="8620347"/>
    <s v="2017/09/13"/>
    <s v="IEC CHA No. Job No. Job Date Port of Discharge Total Package Gross Weight (Kg) FOB(INR) Total Cess (INR) Drawback STR Total (DBK+STR) CIN NO. CIN DT. Reward Flag_x000a_0514025026  ARPPK3328RCH001  6020998  13 SEP 2017 12:09  BDCGP  13  448  89182.5  0  1784  0  1784  N.A.  N.A.  Click here to view item wise reward details "/>
    <s v="Current Que LEO Date EP Copy Print Status DBK Scroll No Scroll Date EGM Integration Status_x000a_HIST  15 SEP 2017 00:09  Y  22032/2017  06 OCT 2017 00:10  Y "/>
    <s v="EGM No. EGM Date Container No. Seal No. Error Message_x000a_T257542209  2017-9-22 0.0.0.0  ZCSU8532458  403390  N.A. "/>
    <s v="ROSL Availed Amount(INR) Scroll Number Scroll Date_x000a_N  0  ROSL NOT CLAIMED  ROSL NOT CLAIMED "/>
    <s v="GSTIN    -    07AXXXXXXXXF1ZR_x000a_Invoice Number Invoice Date IGST Paid(INR)_x000a_XXXXXXXXXXXX057  2017-09-12  25270 "/>
    <x v="93"/>
    <x v="0"/>
  </r>
  <r>
    <x v="0"/>
    <n v="8660236"/>
    <s v="2017/09/14"/>
    <s v="IEC CHA No. Job No. Job Date Port of Discharge Total Package Gross Weight (Kg) FOB(INR) Total Cess (INR) Drawback STR Total (DBK+STR) CIN NO. CIN DT. Reward Flag_x000a_0506062538  AAQPP8189FCH001  6063792  14 SEP 2017 12:09  KWSWK  4  1847.2  451763.13  0  4731  0  4731  N.A.  N.A.  Click here to view item wise reward details "/>
    <s v="Current Que LEO Date EP Copy Print Status DBK Scroll No Scroll Date EGM Integration Status_x000a_HIST  18 SEP 2017 00:09  Y  22137/2017  13 OCT 2017 00:10  Y "/>
    <s v="EGM No. EGM Date Container No. Seal No. Error Message_x000a_R227902509  2017-9-25 0.0.0.0  HLXU4543158  403952  N.A. "/>
    <s v="ROSL Availed Amount(INR) Scroll Number Scroll Date_x000a_N  0  ROSL NOT CLAIMED  ROSL NOT CLAIMED "/>
    <s v="GSTIN    -    05AXXXXXXXXJ1ZY_x000a_Invoice Number Invoice Date IGST Paid(INR)_x000a_002  2017-09-12  81316 "/>
    <x v="100"/>
    <x v="0"/>
  </r>
  <r>
    <x v="0"/>
    <n v="8661641"/>
    <s v="2017/09/14"/>
    <s v="IEC CHA No. Job No. Job Date Port of Discharge Total Package Gross Weight (Kg) FOB(INR) Total Cess (INR) Drawback STR Total (DBK+STR) CIN NO. CIN DT. Reward Flag_x000a_0508075416  AVAPS6694RCH001  6065307  14 SEP 2017 12:09  CNSZX  40  1008.4  131387.96  0  0  0  0  N.A.  N.A.  Click here to view item wise reward details "/>
    <s v="Current Que LEO Date EP Copy Print Status DBK Scroll No Scroll Date EGM Integration Status_x000a_HIST  16 SEP 2017 00:09  Y  N.A.  N.A.  Y "/>
    <s v="EGM No. EGM Date Container No. Seal No. Error Message_x000a_R227902509  2017-9-25 0.0.0.0  BSIU3015188  403955  N.A. "/>
    <s v="ROSL Availed Amount(INR) Scroll Number Scroll Date_x000a_NULL  NULL  NULL  NULL "/>
    <s v="GSTIN    -    06AXXXXXXXXG1ZF_x000a_Invoice Number Invoice Date IGST Paid(INR)_x000a_XXXX508  2017-09-11  24898 "/>
    <x v="101"/>
    <x v="1"/>
  </r>
  <r>
    <x v="0"/>
    <n v="8687607"/>
    <s v="2017/09/15"/>
    <s v="IEC CHA No. Job No. Job Date Port of Discharge Total Package Gross Weight (Kg) FOB(INR) Total Cess (INR) Drawback STR Total (DBK+STR) CIN NO. CIN DT. Reward Flag_x000a_0504064011  AVAPS6694RCH001  6093141  15 SEP 2017 12:09  MMRGN  882  15492.4  1683614.61  0  33672  0  33672  N.A.  N.A.  Click here to view item wise reward details "/>
    <s v="Current Que LEO Date EP Copy Print Status DBK Scroll No Scroll Date EGM Integration Status_x000a_HIST  20 SEP 2017 00:09  Y  22137/2017  13 OCT 2017 00:10  Y "/>
    <s v="EGM No. EGM Date Container No. Seal No. Error Message_x000a_R367602309  2017-9-23 0.0.0.0  KKTU8256558  404113  N.A. "/>
    <s v="ROSL Availed Amount(INR) Scroll Number Scroll Date_x000a_N  0  ROSL NOT CLAIMED  ROSL NOT CLAIMED "/>
    <s v="GSTIN    -    07AXXXXXXXXR1ZX_x000a_Invoice Number Invoice Date IGST Paid(INR)_x000a_XXXXXXXX-17  2017-09-13  440882 "/>
    <x v="102"/>
    <x v="0"/>
  </r>
  <r>
    <x v="0"/>
    <n v="8697591"/>
    <s v="2017/09/16"/>
    <s v="IEC CHA No. Job No. Job Date Port of Discharge Total Package Gross Weight (Kg) FOB(INR) Total Cess (INR) Drawback STR Total (DBK+STR) CIN NO. CIN DT. Reward Flag_x000a_0503013749  AACCP0287DCH001  6103872  16 SEP 2017 12:09  UZTAS  80  2225  845291.98  0  0  0  0  N.A.  N.A.  Click here to view item wise reward details "/>
    <s v="Current Que LEO Date EP Copy Print Status DBK Scroll No Scroll Date EGM Integration Status_x000a_HIST  03 OCT 2017 00:10  Y  N.A.  N.A.  Y "/>
    <s v="EGM No. EGM Date Container No. Seal No. Error Message_x000a_R1667820810  2017-10-8 0.0.0.0  PCIU9157109  405628  N.A. "/>
    <s v="ROSL Availed Amount(INR) Scroll Number Scroll Date_x000a_NULL  NULL  NULL  NULL "/>
    <s v="GSTIN    -    07AXXXXXXXXR1ZG_x000a_Invoice Number Invoice Date IGST Paid(INR)_x000a_XXXXXXXXXXXXX-18  2017-09-15  243762 "/>
    <x v="34"/>
    <x v="1"/>
  </r>
  <r>
    <x v="0"/>
    <n v="8708114"/>
    <s v="2017/09/16"/>
    <s v="IEC CHA No. Job No. Job Date Port of Discharge Total Package Gross Weight (Kg) FOB(INR) Total Cess (INR) Drawback STR Total (DBK+STR) CIN NO. CIN DT. Reward Flag_x000a_0511035675  BWXPS5491PCH001  6115190  16 SEP 2017 12:09  ZAJNB  136  3453  878242.06  0  0  0  0  N.A.  N.A.  Click here to view item wise reward details "/>
    <s v="Current Que LEO Date EP Copy Print Status DBK Scroll No Scroll Date EGM Integration Status_x000a_HIST  19 SEP 2017 00:09  Y  N.A.  N.A.  Y "/>
    <s v="EGM No. EGM Date Container No. Seal No. Error Message_x000a_T507322809  2017-9-28 0.0.0.0  KKFU7110034  404820  N.A. "/>
    <s v="ROSL Availed Amount(INR) Scroll Number Scroll Date_x000a_NULL  NULL  NULL  NULL "/>
    <s v="GSTIN    -    07AXXXXXXXXK1ZN_x000a_Invoice Number Invoice Date IGST Paid(INR)_x000a_XXXXXXXXXXXXXX017  2017-07-20  245896 "/>
    <x v="103"/>
    <x v="1"/>
  </r>
  <r>
    <x v="0"/>
    <n v="8709897"/>
    <s v="2017/09/16"/>
    <s v="IEC CHA No. Job No. Job Date Port of Discharge Total Package Gross Weight (Kg) FOB(INR) Total Cess (INR) Drawback STR Total (DBK+STR) CIN NO. CIN DT. Reward Flag_x000a_0514036265  AAFCS0723ACH002  6117091  16 SEP 2017 12:09  GBFXT  210  3250  460178.54  0  6903  0  6903  N.A.  N.A.  Click here to view item wise reward details "/>
    <s v="Current Que LEO Date EP Copy Print Status DBK Scroll No Scroll Date EGM Integration Status_x000a_HIST  21 SEP 2017 00:09  Y  22137/2017  13 OCT 2017 00:10  Y "/>
    <s v="EGM No. EGM Date Container No. Seal No. Error Message_x000a_T987822409  2017-9-24 0.0.0.0  TGHU2668341  404194  N.A. "/>
    <s v="ROSL Availed Amount(INR) Scroll Number Scroll Date_x000a_N  0  ROSL NOT CLAIMED  ROSL NOT CLAIMED "/>
    <s v="GSTIN    -    07AXXXXXXXXE1ZC_x000a_Invoice Number Invoice Date IGST Paid(INR)_x000a_007  2017-09-15  90209 "/>
    <x v="104"/>
    <x v="0"/>
  </r>
  <r>
    <x v="0"/>
    <n v="8749638"/>
    <s v="2017/09/19"/>
    <s v="IEC CHA No. Job No. Job Date Port of Discharge Total Package Gross Weight (Kg) FOB(INR) Total Cess (INR) Drawback STR Total (DBK+STR) CIN NO. CIN DT. Reward Flag_x000a_0593067517  AHEPG6607LCH001  6159589  19 SEP 2017 12:09  KWSWK  650  6925  3279512.5  0  4853  0  4853  N.A.  N.A.  Click here to view item wise reward details "/>
    <s v="Current Que LEO Date EP Copy Print Status DBK Scroll No Scroll Date EGM Integration Status_x000a_HIST  23 SEP 2017 00:09  Y  22137/2017  13 OCT 2017 00:10  Y "/>
    <s v="EGM No. EGM Date Container No. Seal No. Error Message_x000a_T657202709  2017-9-27 0.0.0.0  TCKU3783810  404712  N.A. "/>
    <s v="ROSL Availed Amount(INR) Scroll Number Scroll Date_x000a_N  0  ROSL NOT CLAIMED  ROSL NOT CLAIMED "/>
    <s v="GSTIN    -    07AXXXXXXXXQ1ZV_x000a_Invoice Number Invoice Date IGST Paid(INR)_x000a_XXXXXXXX017  2017-09-18  168374 "/>
    <x v="105"/>
    <x v="0"/>
  </r>
  <r>
    <x v="0"/>
    <n v="8751355"/>
    <s v="2017/09/19"/>
    <s v="IEC CHA No. Job No. Job Date Port of Discharge Total Package Gross Weight (Kg) FOB(INR) Total Cess (INR) Drawback STR Total (DBK+STR) CIN NO. CIN DT. Reward Flag_x000a_0515076741  AEMPB3106JCH001  6161428  19 SEP 2017 12:09  GBLON  29  511  435906.6  0  31567  0  31567  N.A.  N.A.  Click here to view item wise reward details "/>
    <s v="Current Que LEO Date EP Copy Print Status DBK Scroll No Scroll Date EGM Integration Status_x000a_HIST  21 SEP 2017 00:09  Y  22032/2017  06 OCT 2017 00:10  Y "/>
    <s v="EGM No. EGM Date Container No. Seal No. Error Message_x000a_T257542209  2017-9-22 0.0.0.0  MSKU0286482  403929  N.A. "/>
    <s v="ROSL Availed Amount(INR) Scroll Number Scroll Date_x000a_Y  14649  25835/2017  2017-10-15 0.0.0.0 "/>
    <s v="GSTIN    -    06BXXXXXXXXM1ZI_x000a_Invoice Number Invoice Date IGST Paid(INR)_x000a_32  2017-09-19  21793 "/>
    <x v="106"/>
    <x v="2"/>
  </r>
  <r>
    <x v="0"/>
    <n v="8752612"/>
    <s v="2017/09/19"/>
    <s v="IEC CHA No. Job No. Job Date Port of Discharge Total Package Gross Weight (Kg) FOB(INR) Total Cess (INR) Drawback STR Total (DBK+STR) CIN NO. CIN DT. Reward Flag_x000a_0307055078  AKXPB2292ECH001  6162771  19 SEP 2017 12:09  SEGOT  8  1607  508055.63  0  2609  0  2609  N.A.  N.A.  Click here to view item wise reward details "/>
    <s v="Current Que LEO Date EP Copy Print Status DBK Scroll No Scroll Date EGM Integration Status_x000a_HIST  22 SEP 2017 00:09  Y  22137/2017  13 OCT 2017 00:10  Y "/>
    <s v="EGM No. EGM Date Container No. Seal No. Error Message_x000a_R627583009  2017-9-30 0.0.0.0  WHLU5123143  404839  N.A. "/>
    <s v="ROSL Availed Amount(INR) Scroll Number Scroll Date_x000a_N  0  ROSL NOT CLAIMED  ROSL NOT CLAIMED "/>
    <s v="GSTIN    -    27AXXXXXXXXA1ZR_x000a_Invoice Number Invoice Date IGST Paid(INR)_x000a_X505  2017-09-14  43054 "/>
    <x v="107"/>
    <x v="0"/>
  </r>
  <r>
    <x v="0"/>
    <n v="8752787"/>
    <s v="2017/09/19"/>
    <s v="IEC CHA No. Job No. Job Date Port of Discharge Total Package Gross Weight (Kg) FOB(INR) Total Cess (INR) Drawback STR Total (DBK+STR) CIN NO. CIN DT. Reward Flag_x000a_0598005536  AMJPS3049QCH001  6162967  19 SEP 2017 12:09  ZAPLZ  35  900  320266.38  0  4804  0  4804  N.A.  N.A.  Click here to view item wise reward details "/>
    <s v="Current Que LEO Date EP Copy Print Status DBK Scroll No Scroll Date EGM Integration Status_x000a_HIST  23 SEP 2017 00:09  Y  22260/2017  24 OCT 2017 00:10  Y "/>
    <s v="EGM No. EGM Date Container No. Seal No. Error Message_x000a_R1417663009  2017-9-30 0.0.0.0  MSCU3996447  404832  N.A. "/>
    <s v="ROSL Availed Amount(INR) Scroll Number Scroll Date_x000a_N  0  ROSL NOT CLAIMED  ROSL NOT CLAIMED "/>
    <s v="GSTIN    -    06AXXXXXXXXK1ZT_x000a_Invoice Number Invoice Date IGST Paid(INR)_x000a_XXXXXXX-18  2017-09-11  57646 "/>
    <x v="108"/>
    <x v="0"/>
  </r>
  <r>
    <x v="0"/>
    <n v="8775656"/>
    <s v="2017/09/20"/>
    <s v="IEC CHA No. Job No. Job Date Port of Discharge Total Package Gross Weight (Kg) FOB(INR) Total Cess (INR) Drawback STR Total (DBK+STR) CIN NO. CIN DT. Reward Flag_x000a_0501045813  AACCC6225CCH001  6187499  20 SEP 2017 12:09  AEAUH  4  320  194985.6  0  0  0  0  N.A.  N.A.  Click here to view item wise reward details "/>
    <s v="Current Que LEO Date EP Copy Print Status DBK Scroll No Scroll Date EGM Integration Status_x000a_HIST  25 SEP 2017 00:09  Y  N.A.  N.A.  Y "/>
    <s v="EGM No. EGM Date Container No. Seal No. Error Message_x000a_R1287020910  2017-10-9 0.0.0.0  WHLU5190049  406519  N.A. "/>
    <s v="ROSL Availed Amount(INR) Scroll Number Scroll Date_x000a_NULL  NULL  NULL  NULL "/>
    <s v="GSTIN    -    07AXXXXXXXXM2ZO_x000a_Invoice Number Invoice Date IGST Paid(INR)_x000a_002  2017-09-18  35097 "/>
    <x v="109"/>
    <x v="1"/>
  </r>
  <r>
    <x v="0"/>
    <n v="8783035"/>
    <s v="2017/09/20"/>
    <s v="IEC CHA No. Job No. Job Date Port of Discharge Total Package Gross Weight (Kg) FOB(INR) Total Cess (INR) Drawback STR Total (DBK+STR) CIN NO. CIN DT. Reward Flag_x000a_1216900370  AAECA9987BCH004  6195467  20 SEP 2017 12:09  AEJEA  4  6400  1220725  0  24415  0  24415  N.A.  N.A.  Click here to view item wise reward details "/>
    <s v="Current Que LEO Date EP Copy Print Status DBK Scroll No Scroll Date EGM Integration Status_x000a_HIST  23 SEP 2017 00:09  Y  22528/2017  10 NOV 2017 00:11  Y "/>
    <s v="EGM No. EGM Date Container No. Seal No. Error Message_x000a_R687402909  2017-9-29 0.0.0.0  ETEU8125022  404528  N.A. "/>
    <s v="ROSL Availed Amount(INR) Scroll Number Scroll Date_x000a_N  0  ROSL NOT CLAIMED  ROSL NOT CLAIMED "/>
    <s v="GSTIN    -    03AXXXXXXXXQ1Z4_x000a_Invoice Number Invoice Date IGST Paid(INR)_x000a_XXXXXXXXX-18  2017-09-18  210622 "/>
    <x v="34"/>
    <x v="0"/>
  </r>
  <r>
    <x v="0"/>
    <n v="8784077"/>
    <s v="2017/09/20"/>
    <s v="IEC CHA No. Job No. Job Date Port of Discharge Total Package Gross Weight (Kg) FOB(INR) Total Cess (INR) Drawback STR Total (DBK+STR) CIN NO. CIN DT. Reward Flag_x000a_0517500531  CUZPS3942QCH001  6196554  20 SEP 2017 12:09  THBKK  19  1645.5  1382961.25  0  3719  0  3719  N.A.  N.A.  Click here to view item wise reward details "/>
    <s v="Current Que LEO Date EP Copy Print Status DBK Scroll No Scroll Date EGM Integration Status_x000a_HIST  25 SEP 2017 00:09  Y  22260/2017  24 OCT 2017 00:10  Y "/>
    <s v="EGM No. EGM Date Container No. Seal No. Error Message_x000a_R1667180410  2017-10-4 0.0.0.0  GESU3267295  404881  N.A. "/>
    <s v="ROSL Availed Amount(INR) Scroll Number Scroll Date_x000a_N  0  ROSL NOT CLAIMED  ROSL NOT CLAIMED "/>
    <s v="GSTIN    -    07BXXXXXXXXQ1Z9_x000a_Invoice Number Invoice Date IGST Paid(INR)_x000a_XXXXXXX163  2017-09-20  248932 "/>
    <x v="12"/>
    <x v="0"/>
  </r>
  <r>
    <x v="0"/>
    <n v="8794182"/>
    <s v="2017/09/21"/>
    <s v="IEC CHA No. Job No. Job Date Port of Discharge Total Package Gross Weight (Kg) FOB(INR) Total Cess (INR) Drawback STR Total (DBK+STR) CIN NO. CIN DT. Reward Flag_x000a_0508003300  AHDPK8975CCH001  6207489  21 SEP 2017 12:09  QADOH  13  3455  636421.5  0  12728  0  12728  N.A.  N.A.  Click here to view item wise reward details "/>
    <s v="Current Que LEO Date EP Copy Print Status DBK Scroll No Scroll Date EGM Integration Status_x000a_HIST  22 SEP 2017 00:09  Y  22374/2017  31 OCT 2017 00:10  Y "/>
    <s v="EGM No. EGM Date Container No. Seal No. Error Message_x000a_R957122609  2017-9-26 0.0.0.0  CAXU9027937  403976  N.A. "/>
    <s v="ROSL Availed Amount(INR) Scroll Number Scroll Date_x000a_N  0  ROSL NOT CLAIMED  ROSL NOT CLAIMED "/>
    <s v="GSTIN    -    06AXXXXXXXXH1ZO_x000a_Invoice Number Invoice Date IGST Paid(INR)_x000a_XXXXXXXXXXXX-18  2017-09-13  114555 "/>
    <x v="110"/>
    <x v="0"/>
  </r>
  <r>
    <x v="0"/>
    <n v="8796298"/>
    <s v="2017/09/21"/>
    <s v="IEC CHA No. Job No. Job Date Port of Discharge Total Package Gross Weight (Kg) FOB(INR) Total Cess (INR) Drawback STR Total (DBK+STR) CIN NO. CIN DT. Reward Flag_x000a_0397084901  AAACU5306LCH002  6209700  21 SEP 2017 12:09  TZDAR  40  912.927  372289.5  0  0  0  0  N.A.  N.A.  Click here to view item wise reward details "/>
    <s v="Current Que LEO Date EP Copy Print Status DBK Scroll No Scroll Date EGM Integration Status_x000a_HIST  26 SEP 2017 00:09  Y  N.A.  N.A.  Y "/>
    <s v="EGM No. EGM Date Container No. Seal No. Error Message_x000a_R1317440610  2017-10-6 0.0.0.0  GESU3460468  405618  N.A. "/>
    <s v="ROSL Availed Amount(INR) Scroll Number Scroll Date_x000a_NULL  NULL  NULL  NULL "/>
    <s v="GSTIN    -    26AXXXXXXXXN2Z5_x000a_Invoice Number Invoice Date IGST Paid(INR)_x000a_XXXXXXXXXXX-08  2017-08-12  66584 "/>
    <x v="111"/>
    <x v="1"/>
  </r>
  <r>
    <x v="0"/>
    <n v="8826748"/>
    <s v="2017/09/22"/>
    <s v="IEC CHA No. Job No. Job Date Port of Discharge Total Package Gross Weight (Kg) FOB(INR) Total Cess (INR) Drawback STR Total (DBK+STR) CIN NO. CIN DT. Reward Flag_x000a_0595012647  AAACC6689ECH001  6242266  22 SEP 2017 12:09  PKKHI  457  7039  1926629.43  0  28899  0  28899  N.A.  N.A.  Click here to view item wise reward details "/>
    <s v="Current Que LEO Date EP Copy Print Status DBK Scroll No Scroll Date EGM Integration Status_x000a_HIST  11 OCT 2017 00:10  Y  22374/2017  31 OCT 2017 00:10  Y "/>
    <s v="EGM No. EGM Date Container No. Seal No. Error Message_x000a_R557581410  2017-10-14 0.0.0.0  SEGU4659588  407217  N.A. "/>
    <s v="ROSL Availed Amount(INR) Scroll Number Scroll Date_x000a_N  0  ROSL NOT CLAIMED  ROSL NOT CLAIMED "/>
    <s v="GSTIN    -    07AXXXXXXXXB1ZR_x000a_Invoice Number Invoice Date IGST Paid(INR)_x000a_XXXXXXXXX-18  2017-09-20  229557 "/>
    <x v="112"/>
    <x v="0"/>
  </r>
  <r>
    <x v="0"/>
    <n v="8848896"/>
    <s v="2017/09/23"/>
    <s v="IEC CHA No. Job No. Job Date Port of Discharge Total Package Gross Weight (Kg) FOB(INR) Total Cess (INR) Drawback STR Total (DBK+STR) CIN NO. CIN DT. Reward Flag_x000a_0504064754  FHMPS1058ECH001  6265937  23 SEP 2017 12:09  LKCMB  4  430  669477.45  0  13254  0  13254  N.A.  N.A.  Click here to view item wise reward details "/>
    <s v="Current Que LEO Date EP Copy Print Status DBK Scroll No Scroll Date EGM Integration Status_x000a_HIST  27 SEP 2017 00:09  Y  22260/2017  24 OCT 2017 00:10  Y "/>
    <s v="EGM No. EGM Date Container No. Seal No. Error Message_x000a_R577800810  2017-10-8 0.0.0.0  HDMU6805133  406508  N.A. "/>
    <s v="ROSL Availed Amount(INR) Scroll Number Scroll Date_x000a_N  0  ROSL NOT CLAIMED  ROSL NOT CLAIMED "/>
    <s v="GSTIN    -    09AXXXXXXXXP2ZF_x000a_Invoice Number Invoice Date IGST Paid(INR)_x000a_XXXXXXXXX/19  2017-09-20  33260 "/>
    <x v="113"/>
    <x v="0"/>
  </r>
  <r>
    <x v="0"/>
    <n v="8849157"/>
    <s v="2017/09/23"/>
    <s v="IEC CHA No. Job No. Job Date Port of Discharge Total Package Gross Weight (Kg) FOB(INR) Total Cess (INR) Drawback STR Total (DBK+STR) CIN NO. CIN DT. Reward Flag_x000a_0595012647  AAACC6689ECH001  6266212  23 SEP 2017 12:09  PKKHI  1558  24084  4723665.86  0  70855  0  70855  N.A.  N.A.  Click here to view item wise reward details "/>
    <s v="Current Que LEO Date EP Copy Print Status DBK Scroll No Scroll Date EGM Integration Status_x000a_HIST  28 SEP 2017 00:09  Y  22137/2017  13 OCT 2017 00:10  Y "/>
    <s v="EGM No. EGM Date Container No. Seal No. Error Message_x000a_R557720110  2017-10-1 0.0.0.0  BMOU6932354  001869  N.A. "/>
    <s v="ROSL Availed Amount(INR) Scroll Number Scroll Date_x000a_N  0  ROSL NOT CLAIMED  ROSL NOT CLAIMED "/>
    <s v="GSTIN    -    07AXXXXXXXXB1ZR_x000a_Invoice Number Invoice Date IGST Paid(INR)_x000a_XXXXXXXX-18  2017-09-22  562831 "/>
    <x v="114"/>
    <x v="0"/>
  </r>
  <r>
    <x v="0"/>
    <n v="8876829"/>
    <s v="2017/09/25"/>
    <s v="IEC CHA No. Job No. Job Date Port of Discharge Total Package Gross Weight (Kg) FOB(INR) Total Cess (INR) Drawback STR Total (DBK+STR) CIN NO. CIN DT. Reward Flag_x000a_3397001846  AACCP0287DCH001  6295756  25 SEP 2017 12:09  COBUN  58  3295.5  465626.62  0  6984  0  6984  N.A.  N.A.  Click here to view item wise reward details "/>
    <s v="Current Que LEO Date EP Copy Print Status DBK Scroll No Scroll Date EGM Integration Status_x000a_HIST  28 SEP 2017 00:09  Y  22260/2017  24 OCT 2017 00:10  Y "/>
    <s v="EGM No. EGM Date Container No. Seal No. Error Message_x000a_R1217640710  2017-10-7 0.0.0.0  MRKU6860723  406078  N.A. "/>
    <s v="ROSL Availed Amount(INR) Scroll Number Scroll Date_x000a_N  0  ROSL NOT CLAIMED  ROSL NOT CLAIMED "/>
    <s v="GSTIN    -    06AXXXXXXXXK1ZR_x000a_Invoice Number Invoice Date IGST Paid(INR)_x000a_XXXXXXXXXXXXXX-18  2017-09-21  56752 "/>
    <x v="115"/>
    <x v="0"/>
  </r>
  <r>
    <x v="0"/>
    <n v="8876935"/>
    <s v="2017/09/25"/>
    <s v="IEC CHA No. Job No. Job Date Port of Discharge Total Package Gross Weight (Kg) FOB(INR) Total Cess (INR) Drawback STR Total (DBK+STR) CIN NO. CIN DT. Reward Flag_x000a_3397001846  AACCP0287DCH001  6295879  25 SEP 2017 12:09  COBUN  60  3785.3  495278.97  0  7429  0  7429  N.A.  N.A.  Click here to view item wise reward details "/>
    <s v="Current Que LEO Date EP Copy Print Status DBK Scroll No Scroll Date EGM Integration Status_x000a_HIST  28 SEP 2017 00:09  Y  22260/2017  24 OCT 2017 00:10  Y "/>
    <s v="EGM No. EGM Date Container No. Seal No. Error Message_x000a_R1317440610  2017-10-6 0.0.0.0  MRKU6812849  406077  N.A. "/>
    <s v="ROSL Availed Amount(INR) Scroll Number Scroll Date_x000a_N  0  ROSL NOT CLAIMED  ROSL NOT CLAIMED "/>
    <s v="GSTIN    -    06AXXXXXXXXK1ZR_x000a_Invoice Number Invoice Date IGST Paid(INR)_x000a_XXXXXXXXXXXXXX-18  2017-09-15  59806 "/>
    <x v="115"/>
    <x v="0"/>
  </r>
  <r>
    <x v="0"/>
    <n v="8898683"/>
    <s v="2017/09/26"/>
    <s v="IEC CHA No. Job No. Job Date Port of Discharge Total Package Gross Weight (Kg) FOB(INR) Total Cess (INR) Drawback STR Total (DBK+STR) CIN NO. CIN DT. Reward Flag_x000a_0594048621  AASPK9028QCH001  6319139  26 SEP 2017 12:09  BEANR  15  1064  519395.84  0  43153  0  43153  N.A.  N.A.  Click here to view item wise reward details "/>
    <s v="Current Que LEO Date EP Copy Print Status DBK Scroll No Scroll Date EGM Integration Status_x000a_HIST  29 SEP 2017 00:09  Y  22374/2017  31 OCT 2017 00:10  Y "/>
    <s v="EGM No. EGM Date Container No. Seal No. Error Message_x000a_TX227401910  2017-10-19 0.0.0.0  CAXU3150029  407289  N.A. "/>
    <s v="ROSL Availed Amount(INR) Scroll Number Scroll Date_x000a_N  0  ROSL NOT CLAIMED  ROSL NOT CLAIMED "/>
    <s v="GSTIN    -    07AXXXXXXXXH1ZE_x000a_Invoice Number Invoice Date IGST Paid(INR)_x000a_XX-01  2017-09-25  81717 "/>
    <x v="116"/>
    <x v="0"/>
  </r>
  <r>
    <x v="0"/>
    <n v="8909116"/>
    <s v="2017/09/26"/>
    <s v="IEC CHA No. Job No. Job Date Port of Discharge Total Package Gross Weight (Kg) FOB(INR) Total Cess (INR) Drawback STR Total (DBK+STR) CIN NO. CIN DT. Reward Flag_x000a_DOOPK1147B  AJXPC1898GCH001  633027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19"/>
    <s v="2017/09/26"/>
    <s v="IEC CHA No. Job No. Job Date Port of Discharge Total Package Gross Weight (Kg) FOB(INR) Total Cess (INR) Drawback STR Total (DBK+STR) CIN NO. CIN DT. Reward Flag_x000a_DOOPK1147B  AJXPC1898GCH001  6330279  26 SEP 2017 12:09  AEJEA  40  800  4973148.18  0  487369  0  487369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4275  25851/2017  2017-11-10 0.0.0.0 "/>
    <s v="GSTIN    -    07DXXXXXXXXB1Z5_x000a_Invoice Number Invoice Date IGST Paid(INR)_x000a_XXXXXXXXXXXX-18  2017-09-25  248657 "/>
    <x v="117"/>
    <x v="2"/>
  </r>
  <r>
    <x v="0"/>
    <n v="8909141"/>
    <s v="2017/09/26"/>
    <s v="IEC CHA No. Job No. Job Date Port of Discharge Total Package Gross Weight (Kg) FOB(INR) Total Cess (INR) Drawback STR Total (DBK+STR) CIN NO. CIN DT. Reward Flag_x000a_DOOPK1147B  AJXPC1898GCH001  6330311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43"/>
    <s v="2017/09/26"/>
    <s v="IEC CHA No. Job No. Job Date Port of Discharge Total Package Gross Weight (Kg) FOB(INR) Total Cess (INR) Drawback STR Total (DBK+STR) CIN NO. CIN DT. Reward Flag_x000a_DOOPK1147B  AJXPC1898GCH001  6330308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48"/>
    <s v="2017/09/26"/>
    <s v="IEC CHA No. Job No. Job Date Port of Discharge Total Package Gross Weight (Kg) FOB(INR) Total Cess (INR) Drawback STR Total (DBK+STR) CIN NO. CIN DT. Reward Flag_x000a_DOOPK1147B  AJXPC1898GCH001  6330314  26 SEP 2017 12:09  AEJEA  54  918  4903778.88  0  480570  0  480570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2402  25851/2017  2017-11-10 0.0.0.0 "/>
    <s v="GSTIN    -    07DXXXXXXXXB1Z5_x000a_Invoice Number Invoice Date IGST Paid(INR)_x000a_XXXXXXXXXXXX-18  2017-09-25  245188 "/>
    <x v="117"/>
    <x v="2"/>
  </r>
  <r>
    <x v="0"/>
    <n v="8910761"/>
    <s v="2017/09/26"/>
    <s v="IEC CHA No. Job No. Job Date Port of Discharge Total Package Gross Weight (Kg) FOB(INR) Total Cess (INR) Drawback STR Total (DBK+STR) CIN NO. CIN DT. Reward Flag_x000a_DOOPK1147B  AJXPC1898GCH001  633205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13772"/>
    <s v="2017/09/26"/>
    <s v="IEC CHA No. Job No. Job Date Port of Discharge Total Package Gross Weight (Kg) FOB(INR) Total Cess (INR) Drawback STR Total (DBK+STR) CIN NO. CIN DT. Reward Flag_x000a_0510005021  AQBPK4529MCH001  6335318  26 SEP 2017 12:09  IDJKT  2  300  132432.3  0  0  0  0  N.A.  N.A.  Click here to view item wise reward details "/>
    <s v="Current Que LEO Date EP Copy Print Status DBK Scroll No Scroll Date EGM Integration Status_x000a_HIST  04 OCT 2017 00:10  Y  N.A.  N.A.  Y "/>
    <s v="EGM No. EGM Date Container No. Seal No. Error Message_x000a_R137720810  2017-10-8 0.0.0.0  CNSU2028217  405679  N.A. "/>
    <s v="ROSL Availed Amount(INR) Scroll Number Scroll Date_x000a_NULL  NULL  NULL  NULL "/>
    <s v="GSTIN    -    07AXXXXXXXXN1Z4_x000a_Invoice Number Invoice Date IGST Paid(INR)_x000a_XXXXXXXXXXXXX001  2017-09-12  36391 "/>
    <x v="118"/>
    <x v="1"/>
  </r>
  <r>
    <x v="0"/>
    <n v="8937407"/>
    <s v="2017/09/27"/>
    <s v="IEC CHA No. Job No. Job Date Port of Discharge Total Package Gross Weight (Kg) FOB(INR) Total Cess (INR) Drawback STR Total (DBK+STR) CIN NO. CIN DT. Reward Flag_x000a_0509035337  AAACT6486CCH003  6360604  27 SEP 2017 12:09  LKCMB  418  13886.7  1484685.84  0  21072  0  21072  N.A.  N.A.  Click here to view item wise reward details "/>
    <s v="Current Que LEO Date EP Copy Print Status DBK Scroll No Scroll Date EGM Integration Status_x000a_HIST  04 OCT 2017 00:10  Y  22260/2017  24 OCT 2017 00:10  Y "/>
    <s v="EGM No. EGM Date Container No. Seal No. Error Message_x000a_R1217640710  2017-10-7 0.0.0.0  WHLU2822403  406178  N.A. "/>
    <s v="ROSL Availed Amount(INR) Scroll Number Scroll Date_x000a_N  0  ROSL NOT CLAIMED  ROSL NOT CLAIMED "/>
    <s v="GSTIN    -    06AXXXXXXXXQ1Z8_x000a_Invoice Number Invoice Date IGST Paid(INR)_x000a_XXXXXXXXXXX-18  2017-09-26  183793 "/>
    <x v="119"/>
    <x v="0"/>
  </r>
  <r>
    <x v="0"/>
    <n v="8942181"/>
    <s v="2017/09/27"/>
    <s v="IEC CHA No. Job No. Job Date Port of Discharge Total Package Gross Weight (Kg) FOB(INR) Total Cess (INR) Drawback STR Total (DBK+STR) CIN NO. CIN DT. Reward Flag_x000a_0599059206  AQBPK4529MCH001  6365735  27 SEP 2017 12:09  MVMLE  2100  2130  901609.8  0  0  0  0  N.A.  N.A.  Click here to view item wise reward details "/>
    <s v="Current Que LEO Date EP Copy Print Status DBK Scroll No Scroll Date EGM Integration Status_x000a_HIST  03 OCT 2017 00:10  Y  N.A.  N.A.  Y "/>
    <s v="EGM No. EGM Date Container No. Seal No. Error Message_x000a_T437260510  2017-10-5 0.0.0.0  TCNU4466055  000948  N.A. "/>
    <s v="ROSL Availed Amount(INR) Scroll Number Scroll Date_x000a_NULL  NULL  NULL  NULL "/>
    <s v="GSTIN    -    06AXXXXXXXXG1ZR_x000a_Invoice Number Invoice Date IGST Paid(INR)_x000a_XXXXXXX/07  2017-09-25  162289 "/>
    <x v="120"/>
    <x v="1"/>
  </r>
  <r>
    <x v="0"/>
    <n v="8942185"/>
    <s v="2017/09/27"/>
    <s v="IEC CHA No. Job No. Job Date Port of Discharge Total Package Gross Weight (Kg) FOB(INR) Total Cess (INR) Drawback STR Total (DBK+STR) CIN NO. CIN DT. Reward Flag_x000a_0599059206  AQBPK4529MCH001  6365733  27 SEP 2017 12:09  MVMLE  900  913  386404.2  0  0  0  0  N.A.  N.A.  Click here to view item wise reward details "/>
    <s v="Current Que LEO Date EP Copy Print Status DBK Scroll No Scroll Date EGM Integration Status_x000a_HIST  03 OCT 2017 00:10  Y  N.A.  N.A.  Y "/>
    <s v="EGM No. EGM Date Container No. Seal No. Error Message_x000a_T897160410  2017-10-4 0.0.0.0  TCKU1990300  000949  N.A. "/>
    <s v="ROSL Availed Amount(INR) Scroll Number Scroll Date_x000a_NULL  NULL  NULL  NULL "/>
    <s v="GSTIN    -    06AXXXXXXXXG1ZR_x000a_Invoice Number Invoice Date IGST Paid(INR)_x000a_XXXXXXX/08  2017-09-25  69552 "/>
    <x v="120"/>
    <x v="1"/>
  </r>
  <r>
    <x v="0"/>
    <n v="8961510"/>
    <s v="2017/09/28"/>
    <s v="IEC CHA No. Job No. Job Date Port of Discharge Total Package Gross Weight (Kg) FOB(INR) Total Cess (INR) Drawback STR Total (DBK+STR) CIN NO. CIN DT. Reward Flag_x000a_0515036919  AARFS2414BCH002  6386402  28 SEP 2017 12:09  ILASH  228  3274.08  2636033.4  0  202975  0  202975  N.A.  N.A.  Click here to view item wise reward details "/>
    <s v="Current Que LEO Date EP Copy Print Status DBK Scroll No Scroll Date EGM Integration Status_x000a_HIST  29 SEP 2017 00:09  Y  22260/2017  24 OCT 2017 00:10  Y "/>
    <s v="EGM No. EGM Date Container No. Seal No. Error Message_x000a_R1287020910  2017-10-9 0.0.0.0  CCSU8593755  405692  N.A. "/>
    <s v="ROSL Availed Amount(INR) Scroll Number Scroll Date_x000a_Y  86988  25844/2017  2017-10-31 0.0.0.0 "/>
    <s v="GSTIN    -    09AXXXXXXXXB1ZQ_x000a_Invoice Number Invoice Date IGST Paid(INR)_x000a_XXXXXXXXXXXXX/16  2017-09-23  131799 "/>
    <x v="121"/>
    <x v="2"/>
  </r>
  <r>
    <x v="0"/>
    <n v="8961708"/>
    <s v="2017/09/28"/>
    <s v="IEC CHA No. Job No. Job Date Port of Discharge Total Package Gross Weight (Kg) FOB(INR) Total Cess (INR) Drawback STR Total (DBK+STR) CIN NO. CIN DT. Reward Flag_x000a_3104003254  AAACA3307KCH003  6386620  28 SEP 2017 12:09  ARBUE  1  8  158368.5  0  3167  0  3167  N.A.  N.A.  Click here to view item wise reward details "/>
    <s v="Current Que LEO Date EP Copy Print Status DBK Scroll No Scroll Date EGM Integration Status_x000a_HIST  06 OCT 2017 00:10  Y  22374/2017  31 OCT 2017 00:10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17820 "/>
    <x v="122"/>
    <x v="0"/>
  </r>
  <r>
    <x v="0"/>
    <n v="8964619"/>
    <s v="2017/09/28"/>
    <s v="IEC CHA No. Job No. Job Date Port of Discharge Total Package Gross Weight (Kg) FOB(INR) Total Cess (INR) Drawback STR Total (DBK+STR) CIN NO. CIN DT. Reward Flag_x000a_0588079359  AAACU5306LCH002  6389738  28 SEP 2017 12:09  NOOSL  3  1168.5  303050.84  0  6061  0  6061  N.A.  N.A.  Click here to view item wise reward details "/>
    <s v="Current Que LEO Date EP Copy Print Status DBK Scroll No Scroll Date EGM Integration Status_x000a_HIST  06 OCT 2017 00:10  Y  22260/2017  24 OCT 2017 00:10  Y "/>
    <s v="EGM No. EGM Date Container No. Seal No. Error Message_x000a_R37161110  2017-10-11 0.0.0.0  WHLU5142863  406553  N.A. "/>
    <s v="ROSL Availed Amount(INR) Scroll Number Scroll Date_x000a_N  0  ROSL NOT CLAIMED  ROSL NOT CLAIMED "/>
    <s v="GSTIN    -    05AXXXXXXXXL3ZW_x000a_Invoice Number Invoice Date IGST Paid(INR)_x000a_XXXX228  2017-09-06  54545 "/>
    <x v="2"/>
    <x v="0"/>
  </r>
  <r>
    <x v="0"/>
    <n v="8966600"/>
    <s v="2017/09/28"/>
    <s v="IEC CHA No. Job No. Job Date Port of Discharge Total Package Gross Weight (Kg) FOB(INR) Total Cess (INR) Drawback STR Total (DBK+STR) CIN NO. CIN DT. Reward Flag_x000a_3104003254  AAACA3307KCH003  6391825  28 SEP 2017 12:09  ARBUE  1  47  757849.2  0  15157  0  15157  N.A.  N.A.  Click here to view item wise reward details "/>
    <s v="Current Que LEO Date EP Copy Print Status DBK Scroll No Scroll Date EGM Integration Status_x000a_HIST  06 OCT 2017 00:10  Y  24432/2018  25 MAR 2018 00:03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70092 "/>
    <x v="122"/>
    <x v="0"/>
  </r>
  <r>
    <x v="0"/>
    <n v="8967109"/>
    <s v="2017/09/28"/>
    <s v="IEC CHA No. Job No. Job Date Port of Discharge Total Package Gross Weight (Kg) FOB(INR) Total Cess (INR) Drawback STR Total (DBK+STR) CIN NO. CIN DT. Reward Flag_x000a_3104003254  AAACA3307KCH003  6392344  28 SEP 2017 12:09  ARBUE  4  142.4  1977449.4  0  39511  0  39511  N.A.  N.A.  Click here to view item wise reward details "/>
    <s v="Current Que LEO Date EP Copy Print Status DBK Scroll No Scroll Date EGM Integration Status_x000a_HIST  09 OCT 2017 00:10  Y  22374/2017  31 OCT 2017 00:10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152148 "/>
    <x v="122"/>
    <x v="0"/>
  </r>
  <r>
    <x v="0"/>
    <n v="8967731"/>
    <s v="2017/09/28"/>
    <s v="IEC CHA No. Job No. Job Date Port of Discharge Total Package Gross Weight (Kg) FOB(INR) Total Cess (INR) Drawback STR Total (DBK+STR) CIN NO. CIN DT. Reward Flag_x000a_3104003254  AAACA3307KCH003  6393025  28 SEP 2017 12:09  USNYC  6  298  374976.42  0  6682  0  6682  N.A.  N.A.  Click here to view item wise reward details "/>
    <s v="Current Que LEO Date EP Copy Print Status DBK Scroll No Scroll Date EGM Integration Status_x000a_HIST  06 OCT 2017 00:10  Y  22374/2017  31 OCT 2017 00:10  Y "/>
    <s v="EGM No. EGM Date Container No. Seal No. Error Message_x000a_J467261810  2017-10-18 0.0.0.0  TCNU6969193  407275  N.A. "/>
    <s v="ROSL Availed Amount(INR) Scroll Number Scroll Date_x000a_N  0  ROSL NOT CLAIMED  ROSL NOT CLAIMED "/>
    <s v="GSTIN    -    27AXXXXXXXXR1ZF_x000a_Invoice Number Invoice Date IGST Paid(INR)_x000a_XXXXXXXXXXXX-18  2017-09-19  35762 "/>
    <x v="123"/>
    <x v="0"/>
  </r>
  <r>
    <x v="0"/>
    <n v="8999430"/>
    <s v="2017/09/29"/>
    <s v="IEC CHA No. Job No. Job Date Port of Discharge Total Package Gross Weight (Kg) FOB(INR) Total Cess (INR) Drawback STR Total (DBK+STR) CIN NO. CIN DT. Reward Flag_x000a_0589053850  AALCS5528DCH001  6427013  29 SEP 2017 12:09  QADOH  5  2590  400321.38  0  8006  0  8006  N.A.  N.A.  Click here to view item wise reward details "/>
    <s v="Current Que LEO Date EP Copy Print Status DBK Scroll No Scroll Date EGM Integration Status_x000a_HIST  04 OCT 2017 00:10  Y  22374/2017  31 OCT 2017 00:10  Y "/>
    <s v="EGM No. EGM Date Container No. Seal No. Error Message_x000a_R297241810  2017-10-18 0.0.0.0  MRKU9663923  407271  N.A. "/>
    <s v="ROSL Availed Amount(INR) Scroll Number Scroll Date_x000a_N  0  ROSL NOT CLAIMED  ROSL NOT CLAIMED "/>
    <s v="GSTIN    -    06AXXXXXXXXM1ZZ_x000a_Invoice Number Invoice Date IGST Paid(INR)_x000a_053  2017-09-13  72054 "/>
    <x v="124"/>
    <x v="0"/>
  </r>
  <r>
    <x v="0"/>
    <n v="9000406"/>
    <s v="2017/09/29"/>
    <s v="IEC CHA No. Job No. Job Date Port of Discharge Total Package Gross Weight (Kg) FOB(INR) Total Cess (INR) Drawback STR Total (DBK+STR) CIN NO. CIN DT. Reward Flag_x000a_0595012647  AAACC6689ECH001  6428046  29 SEP 2017 12:09  PKKHI  746  10619  3765676.46  0  56485  0  56485  N.A.  N.A.  Click here to view item wise reward details "/>
    <s v="Current Que LEO Date EP Copy Print Status DBK Scroll No Scroll Date EGM Integration Status_x000a_HIST  10 OCT 2017 00:10  Y  22374/2017  31 OCT 2017 00:10  Y "/>
    <s v="EGM No. EGM Date Container No. Seal No. Error Message_x000a_R1477041710  2017-10-17 0.0.0.0  BMOU6923100  406966  N.A. "/>
    <s v="ROSL Availed Amount(INR) Scroll Number Scroll Date_x000a_N  0  ROSL NOT CLAIMED  ROSL NOT CLAIMED "/>
    <s v="GSTIN    -    07AXXXXXXXXB1ZR_x000a_Invoice Number Invoice Date IGST Paid(INR)_x000a_XXXXXXXXX-18  2017-09-27  451879 "/>
    <x v="125"/>
    <x v="0"/>
  </r>
  <r>
    <x v="0"/>
    <n v="9003019"/>
    <s v="2017/09/29"/>
    <s v="IEC CHA No. Job No. Job Date Port of Discharge Total Package Gross Weight (Kg) FOB(INR) Total Cess (INR) Drawback STR Total (DBK+STR) CIN NO. CIN DT. Reward Flag_x000a_0595012647  AAACC6689ECH001  6430835  29 SEP 2017 12:09  PKKHI  833  8404  5375435.34  0  80632  0  80632  N.A.  N.A.  Click here to view item wise reward details "/>
    <s v="Current Que LEO Date EP Copy Print Status DBK Scroll No Scroll Date EGM Integration Status_x000a_HIST  11 OCT 2017 00:10  Y  22374/2017  31 OCT 2017 00:10  Y "/>
    <s v="EGM No. EGM Date Container No. Seal No. Error Message_x000a_R1477041710  2017-10-17 0.0.0.0  BMOU6923100  406966  N.A. "/>
    <s v="ROSL Availed Amount(INR) Scroll Number Scroll Date_x000a_N  0  ROSL NOT CLAIMED  ROSL NOT CLAIMED "/>
    <s v="GSTIN    -    07AXXXXXXXXB1ZR_x000a_Invoice Number Invoice Date IGST Paid(INR)_x000a_XXXXXXXXX-18  2017-09-27  645045 "/>
    <x v="125"/>
    <x v="0"/>
  </r>
  <r>
    <x v="0"/>
    <n v="9009228"/>
    <s v="2017/09/29"/>
    <s v="IEC CHA No. Job No. Job Date Port of Discharge Total Package Gross Weight (Kg) FOB(INR) Total Cess (INR) Drawback STR Total (DBK+STR) CIN NO. CIN DT. Reward Flag_x000a_2915001367  BEEPS0785MCH001  6437389  29 SEP 2017 12:09  MUPLU  61  630.32  394472.44  0  0  0  0  N.A.  N.A.  Click here to view item wise reward details "/>
    <s v="Current Que LEO Date EP Copy Print Status DBK Scroll No Scroll Date EGM Integration Status_x000a_HIST  03 OCT 2017 00:10  Y  N.A.  N.A.  Y "/>
    <s v="EGM No. EGM Date Container No. Seal No. Error Message_x000a_R1287020910  2017-10-9 0.0.0.0  TCKU1325362  406513  N.A. "/>
    <s v="ROSL Availed Amount(INR) Scroll Number Scroll Date_x000a_NULL  NULL  NULL  NULL "/>
    <s v="GSTIN    -    09BXXXXXXXXA1ZM_x000a_Invoice Number Invoice Date IGST Paid(INR)_x000a_XXXXXXXXXXXXX/17  2017-09-09  24308 _x000a_XXXXXXXXXXXXX/17  2017-09-09  22685 "/>
    <x v="126"/>
    <x v="1"/>
  </r>
  <r>
    <x v="0"/>
    <n v="9029616"/>
    <s v="2017/10/03"/>
    <s v="IEC CHA No. Job No. Job Date Port of Discharge Total Package Gross Weight (Kg) FOB(INR) Total Cess (INR) Drawback STR Total (DBK+STR) CIN NO. CIN DT. Reward Flag_x000a_0598059113  AASPK9028QCH001  6461434  03 OCT 2017 12:10  AEJEA  845  10250  1383309.2  0  27666  0  27666  N.A.  N.A.  Click here to view item wise reward details "/>
    <s v="Current Que LEO Date EP Copy Print Status DBK Scroll No Scroll Date EGM Integration Status_x000a_HIST  05 OCT 2017 00:10  Y  22260/2017  24 OCT 2017 00:10  Y "/>
    <s v="EGM No. EGM Date Container No. Seal No. Error Message_x000a_R137720810  2017-10-8 0.0.0.0  BAXU2688364  406251  N.A. "/>
    <s v="ROSL Availed Amount(INR) Scroll Number Scroll Date_x000a_N  0  ROSL NOT CLAIMED  ROSL NOT CLAIMED "/>
    <s v="GSTIN    -    07AXXXXXXXXL1ZI_x000a_Invoice Number Invoice Date IGST Paid(INR)_x000a_XXXXXXXXXXXX/34  2017-09-21  165469 "/>
    <x v="127"/>
    <x v="0"/>
  </r>
  <r>
    <x v="0"/>
    <n v="9049883"/>
    <s v="2017/10/03"/>
    <s v="IEC CHA No. Job No. Job Date Port of Discharge Total Package Gross Weight (Kg) FOB(INR) Total Cess (INR) Drawback STR Total (DBK+STR) CIN NO. CIN DT. Reward Flag_x000a_0506012905  FHMPS1058ECH001  6485787  03 OCT 2017 12:10  MYPKG  236  23624.15  886195.04  0  0  0  0  N.A.  N.A.  Click here to view item wise reward details "/>
    <s v="Current Que LEO Date EP Copy Print Status DBK Scroll No Scroll Date EGM Integration Status_x000a_HIST  05 OCT 2017 00:10  Y  N.A.  N.A.  Y "/>
    <s v="EGM No. EGM Date Container No. Seal No. Error Message_x000a_R37161110  2017-10-11 0.0.0.0  GESU2985600  40629  N.A. "/>
    <s v="ROSL Availed Amount(INR) Scroll Number Scroll Date_x000a_NULL  NULL  NULL  NULL "/>
    <s v="GSTIN    -    07AXXXXXXXXP2Z7_x000a_Invoice Number Invoice Date IGST Paid(INR)_x000a_XXXXXXX002  2017-10-03  165318 "/>
    <x v="128"/>
    <x v="1"/>
  </r>
  <r>
    <x v="0"/>
    <n v="9064900"/>
    <s v="2017/10/04"/>
    <s v="IEC CHA No. Job No. Job Date Port of Discharge Total Package Gross Weight (Kg) FOB(INR) Total Cess (INR) Drawback STR Total (DBK+STR) CIN NO. CIN DT. Reward Flag_x000a_0504063227  AACCP0287DCH001  6504228  04 OCT 2017 12:10  THLCH  4  940  362593.14  0  7252  0  7252  N.A.  N.A.  Click here to view item wise reward details "/>
    <s v="Current Que LEO Date EP Copy Print Status DBK Scroll No Scroll Date EGM Integration Status_x000a_HIST  07 OCT 2017 00:10  Y  22374/2017  31 OCT 2017 00:10  Y "/>
    <s v="EGM No. EGM Date Container No. Seal No. Error Message_x000a_R867621410  2017-10-14 0.0.0.0  NYKU2797166  407212  N.A. "/>
    <s v="ROSL Availed Amount(INR) Scroll Number Scroll Date_x000a_N  0  ROSL NOT CLAIMED  ROSL NOT CLAIMED "/>
    <s v="GSTIN    -    06AXXXXXXXXQ1ZP_x000a_Invoice Number Invoice Date IGST Paid(INR)_x000a_XXXXXXXX/18  2017-09-28  65266 "/>
    <x v="129"/>
    <x v="0"/>
  </r>
  <r>
    <x v="0"/>
    <n v="9073097"/>
    <s v="2017/10/04"/>
    <s v="IEC CHA No. Job No. Job Date Port of Discharge Total Package Gross Weight (Kg) FOB(INR) Total Cess (INR) Drawback STR Total (DBK+STR) CIN NO. CIN DT. Reward Flag_x000a_0588024317  AACFS5709ACH001  6513403  04 OCT 2017 12:10  MUPLU  11  126.5  161777.62  0  0  0  0  N.A.  N.A.  Click here to view item wise reward details "/>
    <s v="Current Que LEO Date EP Copy Print Status DBK Scroll No Scroll Date EGM Integration Status_x000a_HIST  09 OCT 2017 00:10  Y  N.A.  N.A.  Y "/>
    <s v="EGM No. EGM Date Container No. Seal No. Error Message_x000a_R867621410  2017-10-14 0.0.0.0  GVCU5250627  407221  N.A. "/>
    <s v="ROSL Availed Amount(INR) Scroll Number Scroll Date_x000a_NULL  NULL  NULL  NULL "/>
    <s v="GSTIN    -    08AXXXXXXXXM1ZV_x000a_Invoice Number Invoice Date IGST Paid(INR)_x000a_XXXXXXXXXXXXXX/18  2017-10-03  19275 "/>
    <x v="130"/>
    <x v="1"/>
  </r>
  <r>
    <x v="0"/>
    <n v="9086361"/>
    <s v="2017/10/05"/>
    <s v="IEC CHA No. Job No. Job Date Port of Discharge Total Package Gross Weight (Kg) FOB(INR) Total Cess (INR) Drawback STR Total (DBK+STR) CIN NO. CIN DT. Reward Flag_x000a_0514085720  AADCJ6591KCH001  6527804  05 OCT 2017 12:10  AEJEA  73  28000  767266.5  0  0  0  0  N.A.  N.A.  Click here to view item wise reward details "/>
    <s v="Current Que LEO Date EP Copy Print Status DBK Scroll No Scroll Date EGM Integration Status_x000a_HIST  07 OCT 2017 00:10  Y  N.A.  N.A.  Y "/>
    <s v="EGM No. EGM Date Container No. Seal No. Error Message_x000a_R417321210  2017-10-12 0.0.0.0  GATU8593405  406813  N.A. "/>
    <s v="ROSL Availed Amount(INR) Scroll Number Scroll Date_x000a_NULL  NULL  NULL  NULL "/>
    <s v="GSTIN    -    07AXXXXXXXXA1ZT_x000a_Invoice Number Invoice Date IGST Paid(INR)_x000a_XXXXXXXXXXXXXEXP  2017-10-05  214834 "/>
    <x v="131"/>
    <x v="1"/>
  </r>
  <r>
    <x v="0"/>
    <n v="9089004"/>
    <s v="2017/10/05"/>
    <s v="IEC CHA No. Job No. Job Date Port of Discharge Total Package Gross Weight (Kg) FOB(INR) Total Cess (INR) Drawback STR Total (DBK+STR) CIN NO. CIN DT. Reward Flag_x000a_0514067969  AHVPD5199DCH001  6530682  05 OCT 2017 12:10  PKKHI  20  490  658658  0  762  0  762  N.A.  N.A.  Click here to view item wise reward details "/>
    <s v="Current Que LEO Date EP Copy Print Status DBK Scroll No Scroll Date EGM Integration Status_x000a_HIST  10 OCT 2017 00:10  Y  22374/2017  31 OCT 2017 00:10  Y "/>
    <s v="EGM No. EGM Date Container No. Seal No. Error Message_x000a_T977721510  2017-10-15 0.0.0.0  PCIU8176974  406590  N.A. "/>
    <s v="ROSL Availed Amount(INR) Scroll Number Scroll Date_x000a_N  0  ROSL NOT CLAIMED  ROSL NOT CLAIMED "/>
    <s v="GSTIN    -    09AXXXXXXXXA1Z1_x000a_Invoice Number Invoice Date IGST Paid(INR)_x000a_XXXXX4/B  2017-10-03  97398 "/>
    <x v="132"/>
    <x v="0"/>
  </r>
  <r>
    <x v="0"/>
    <n v="9093386"/>
    <s v="2017/10/05"/>
    <s v="IEC CHA No. Job No. Job Date Port of Discharge Total Package Gross Weight (Kg) FOB(INR) Total Cess (INR) Drawback STR Total (DBK+STR) CIN NO. CIN DT. Reward Flag_x000a_0516502123  AAUPY4535CCH001  6535528  05 OCT 2017 12:10  TNRDS  2  4000  955500  0  19110  0  19110  N.A.  N.A.  Click here to view item wise reward details "/>
    <s v="Current Que LEO Date EP Copy Print Status DBK Scroll No Scroll Date EGM Integration Status_x000a_HIST  07 OCT 2017 00:10  Y  22374/2017  31 OCT 2017 00:10  Y "/>
    <s v="EGM No. EGM Date Container No. Seal No. Error Message_x000a_R977361210  2017-10-12 0.0.0.0  APZU2129906  406657  N.A. "/>
    <s v="ROSL Availed Amount(INR) Scroll Number Scroll Date_x000a_N  0  ROSL NOT CLAIMED  ROSL NOT CLAIMED "/>
    <s v="GSTIN    -    07AXXXXXXXXL1ZM_x000a_Invoice Number Invoice Date IGST Paid(INR)_x000a_XXXXXX/17  2017-10-04  171989 "/>
    <x v="133"/>
    <x v="0"/>
  </r>
  <r>
    <x v="0"/>
    <n v="9096262"/>
    <s v="2017/10/05"/>
    <s v="IEC CHA No. Job No. Job Date Port of Discharge Total Package Gross Weight (Kg) FOB(INR) Total Cess (INR) Drawback STR Total (DBK+STR) CIN NO. CIN DT. Reward Flag_x000a_0588128180  ARPPK3328RCH001  6538656  05 OCT 2017 12:10  KMLOG  535  16365  3231761.5  0  31879  0  31879  N.A.  N.A.  Click here to view item wise reward details "/>
    <s v="Current Que LEO Date EP Copy Print Status DBK Scroll No Scroll Date EGM Integration Status_x000a_HIST  06 OCT 2017 00:10  Y  22260/2017  24 OCT 2017 00:10  Y "/>
    <s v="EGM No. EGM Date Container No. Seal No. Error Message_x000a_R587241110  2017-10-11 0.0.0.0  GLDU5661534  406447  N.A. "/>
    <s v="ROSL Availed Amount(INR) Scroll Number Scroll Date_x000a_N  0  ROSL NOT CLAIMED  ROSL NOT CLAIMED "/>
    <s v="GSTIN    -    07AXXXXXXXXJ1Z1_x000a_Invoice Number Invoice Date IGST Paid(INR)_x000a_XXXXXXXX/17  2017-10-03  9714 "/>
    <x v="134"/>
    <x v="0"/>
  </r>
  <r>
    <x v="0"/>
    <n v="9098433"/>
    <s v="2017/10/05"/>
    <s v="IEC CHA No. Job No. Job Date Port of Discharge Total Package Gross Weight (Kg) FOB(INR) Total Cess (INR) Drawback STR Total (DBK+STR) CIN NO. CIN DT. Reward Flag_x000a_0501061428  AHVPD5199DCH001  6541004  05 OCT 2017 12:10  MVMLE  1  104  308180.6  0  3082  0  3082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CAIU7480618  407224  N.A. "/>
    <s v="ROSL Availed Amount(INR) Scroll Number Scroll Date_x000a_N  0  ROSL NOT CLAIMED  ROSL NOT CLAIMED "/>
    <s v="GSTIN    -    06AXXXXXXXXB1ZO_x000a_Invoice Number Invoice Date IGST Paid(INR)_x000a_074  2017-10-05  57708 "/>
    <x v="129"/>
    <x v="0"/>
  </r>
  <r>
    <x v="0"/>
    <n v="9122323"/>
    <s v="2017/10/06"/>
    <s v="IEC CHA No. Job No. Job Date Port of Discharge Total Package Gross Weight (Kg) FOB(INR) Total Cess (INR) Drawback STR Total (DBK+STR) CIN NO. CIN DT. Reward Flag_x000a_0507023722  AANPA2304GCH001  6566885  06 OCT 2017 12:10  LKCMB  40  1010  273918  0  0  0  0  N.A.  N.A.  Click here to view item wise reward details "/>
    <s v="Current Que LEO Date EP Copy Print Status DBK Scroll No Scroll Date EGM Integration Status_x000a_HIST  07 OCT 2017 00:10  Y  N.A.  N.A.  Y "/>
    <s v="EGM No. EGM Date Container No. Seal No. Error Message_x000a_R867621410  2017-10-14 0.0.0.0  CAIU7480618  407224  N.A. "/>
    <s v="ROSL Availed Amount(INR) Scroll Number Scroll Date_x000a_NULL  NULL  NULL  NULL "/>
    <s v="GSTIN    -    07AXXXXXXXXB1ZM_x000a_Invoice Number Invoice Date IGST Paid(INR)_x000a_XXXXXXXXXX/07  2017-10-06  49303 "/>
    <x v="129"/>
    <x v="1"/>
  </r>
  <r>
    <x v="0"/>
    <n v="9131041"/>
    <s v="2017/10/06"/>
    <s v="IEC CHA No. Job No. Job Date Port of Discharge Total Package Gross Weight (Kg) FOB(INR) Total Cess (INR) Drawback STR Total (DBK+STR) CIN NO. CIN DT. Reward Flag_x000a_0500003491  BEEPS0785MCH001  6576288  06 OCT 2017 12:10  GBLON  34  686  327930  0  0  0  0  N.A.  N.A.  Click here to view item wise reward details "/>
    <s v="Current Que LEO Date EP Copy Print Status DBK Scroll No Scroll Date EGM Integration Status_x000a_HIST  12 OCT 2017 00:10  Y  N.A.  N.A.  Y "/>
    <s v="EGM No. EGM Date Container No. Seal No. Error Message_x000a_R157782210  2017-10-22 0.0.0.0  MRKU5061888  407765  N.A. "/>
    <s v="ROSL Availed Amount(INR) Scroll Number Scroll Date_x000a_NULL  NULL  NULL  NULL "/>
    <s v="GSTIN    -    09AXXXXXXXXH1ZU_x000a_Invoice Number Invoice Date IGST Paid(INR)_x000a_XXXXXXXXXXXXX-18  2017-10-06  39351 "/>
    <x v="135"/>
    <x v="1"/>
  </r>
  <r>
    <x v="0"/>
    <n v="9136843"/>
    <s v="2017/10/07"/>
    <s v="IEC CHA No. Job No. Job Date Port of Discharge Total Package Gross Weight (Kg) FOB(INR) Total Cess (INR) Drawback STR Total (DBK+STR) CIN NO. CIN DT. Reward Flag_x000a_0314004173  AEKPR9484FCH001  6582548  07 OCT 2017 12:10  LKCMB  2  2131  192900  0  2122  0  2122  N.A.  N.A.  Click here to view item wise reward details "/>
    <s v="Current Que LEO Date EP Copy Print Status DBK Scroll No Scroll Date EGM Integration Status_x000a_HIST  11 OCT 2017 00:10  Y  22374/2017  31 OCT 2017 00:10  Y "/>
    <s v="EGM No. EGM Date Container No. Seal No. Error Message_x000a_R957461310  2017-10-13 0.0.0.0  AMFU8533571  407208  N.A. "/>
    <s v="ROSL Availed Amount(INR) Scroll Number Scroll Date_x000a_N  0  ROSL NOT CLAIMED  ROSL NOT CLAIMED "/>
    <s v="GSTIN    -    27AXXXXXXXXG1ZA_x000a_Invoice Number Invoice Date IGST Paid(INR)_x000a_XXXXXXXXXXXXX8/A  2017-10-06  40207 "/>
    <x v="136"/>
    <x v="0"/>
  </r>
  <r>
    <x v="0"/>
    <n v="9137886"/>
    <s v="2017/10/07"/>
    <s v="IEC CHA No. Job No. Job Date Port of Discharge Total Package Gross Weight (Kg) FOB(INR) Total Cess (INR) Drawback STR Total (DBK+STR) CIN NO. CIN DT. Reward Flag_x000a_0509025765  AACCA2655GCH002  6583650  07 OCT 2017 12:10  MUPLU  4  522.99  214888  0  0  0  0  N.A.  N.A.  Click here to view item wise reward details "/>
    <s v="Current Que LEO Date EP Copy Print Status DBK Scroll No Scroll Date EGM Integration Status_x000a_HIST  09 OCT 2017 00:10  Y  N.A.  N.A.  Y "/>
    <s v="EGM No. EGM Date Container No. Seal No. Error Message_x000a_R887682110  2017-10-21 0.0.0.0  GLDU0850350  407702  N.A. "/>
    <s v="ROSL Availed Amount(INR) Scroll Number Scroll Date_x000a_NULL  NULL  NULL  NULL "/>
    <s v="GSTIN    -    07AXXXXXXXXP1Z3_x000a_Invoice Number Invoice Date IGST Paid(INR)_x000a_XXXXXXX012  2017-10-06  60167 "/>
    <x v="137"/>
    <x v="1"/>
  </r>
  <r>
    <x v="0"/>
    <n v="9150741"/>
    <s v="2017/10/07"/>
    <s v="IEC CHA No. Job No. Job Date Port of Discharge Total Package Gross Weight (Kg) FOB(INR) Total Cess (INR) Drawback STR Total (DBK+STR) CIN NO. CIN DT. Reward Flag_x000a_0505007592  AEOPA9390KCH001  6597444  07 OCT 2017 12:10  AEDXB  7  3680  2039403.1  0  40788  0  40788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TCNU8961632  406571  N.A. "/>
    <s v="ROSL Availed Amount(INR) Scroll Number Scroll Date_x000a_N  0  ROSL NOT CLAIMED  ROSL NOT CLAIMED "/>
    <s v="GSTIN    -    06AXXXXXXXXK1ZF_x000a_Invoice Number Invoice Date IGST Paid(INR)_x000a_XXXXXXXXXX-18  2017-10-06  367088 "/>
    <x v="138"/>
    <x v="0"/>
  </r>
  <r>
    <x v="0"/>
    <n v="9161051"/>
    <s v="2017/10/09"/>
    <s v="IEC CHA No. Job No. Job Date Port of Discharge Total Package Gross Weight (Kg) FOB(INR) Total Cess (INR) Drawback STR Total (DBK+STR) CIN NO. CIN DT. Reward Flag_x000a_0511034661  AABCC8115GCH002  6608520  09 OCT 2017 12:10  AEJEA  41  495  838767.78  0  0  0  0  N.A.  N.A.  Click here to view item wise reward details "/>
    <s v="Current Que LEO Date EP Copy Print Status DBK Scroll No Scroll Date EGM Integration Status_x000a_HIST  10 OCT 2017 00:10  Y  N.A.  N.A.  Y "/>
    <s v="EGM No. EGM Date Container No. Seal No. Error Message_x000a_R867621410  2017-10-14 0.0.0.0  BAXU5056052  407207  N.A. "/>
    <s v="ROSL Availed Amount(INR) Scroll Number Scroll Date_x000a_NULL  NULL  NULL  NULL "/>
    <s v="GSTIN    -    07AXXXXXXXXL1ZH_x000a_Invoice Number Invoice Date IGST Paid(INR)_x000a_007  2017-10-07  25138 "/>
    <x v="139"/>
    <x v="1"/>
  </r>
  <r>
    <x v="0"/>
    <n v="9203657"/>
    <s v="2017/10/10"/>
    <s v="IEC CHA No. Job No. Job Date Port of Discharge Total Package Gross Weight (Kg) FOB(INR) Total Cess (INR) Drawback STR Total (DBK+STR) CIN NO. CIN DT. Reward Flag_x000a_0510012680  AAACE2762JCH001  6654204  10 OCT 2017 12:10  GYGEO  5  88.6  39224.93  0  0  0  0  N.A.  N.A.  Click here to view item wise reward details "/>
    <s v="Current Que LEO Date EP Copy Print Status DBK Scroll No Scroll Date EGM Integration Status_x000a_HIST  16 OCT 2017 00:10  Y  N.A.  N.A.  Y "/>
    <s v="EGM No. EGM Date Container No. Seal No. Error Message_x000a_T907562710  2017-10-27 0.0.0.0  TCNU6623955  408335  N.A. "/>
    <s v="ROSL Availed Amount(INR) Scroll Number Scroll Date_x000a_NULL  NULL  NULL  NULL "/>
    <s v="GSTIN    -    07AXXXXXXXXK1ZE_x000a_Invoice Number Invoice Date IGST Paid(INR)_x000a_XXXXX8-A  2017-10-10  5771 "/>
    <x v="140"/>
    <x v="1"/>
  </r>
  <r>
    <x v="0"/>
    <n v="9212445"/>
    <s v="2017/10/11"/>
    <s v="IEC CHA No. Job No. Job Date Port of Discharge Total Package Gross Weight (Kg) FOB(INR) Total Cess (INR) Drawback STR Total (DBK+STR) CIN NO. CIN DT. Reward Flag_x000a_0512084262  AOWPS6493KCH001  6663590  11 OCT 2017 12:10  THBKK  1  405.74  120806.84  0  2416  0  2416  N.A.  N.A.  Click here to view item wise reward details "/>
    <s v="Current Que LEO Date EP Copy Print Status DBK Scroll No Scroll Date EGM Integration Status_x000a_HIST  12 OCT 2017 00:10  Y  22374/2017  31 OCT 2017 00:10  Y "/>
    <s v="EGM No. EGM Date Container No. Seal No. Error Message_x000a_R687802210  2017-10-22 0.0.0.0  VSTU9000208  407755  N.A. "/>
    <s v="ROSL Availed Amount(INR) Scroll Number Scroll Date_x000a_N  0  ROSL NOT CLAIMED  ROSL NOT CLAIMED "/>
    <s v="GSTIN    -    06AXXXXXXXXM1ZQ_x000a_Invoice Number Invoice Date IGST Paid(INR)_x000a_XXXXXX-18  2017-10-04  21744 "/>
    <x v="141"/>
    <x v="0"/>
  </r>
  <r>
    <x v="0"/>
    <n v="9225719"/>
    <s v="2017/10/11"/>
    <s v="IEC CHA No. Job No. Job Date Port of Discharge Total Package Gross Weight (Kg) FOB(INR) Total Cess (INR) Drawback STR Total (DBK+STR) CIN NO. CIN DT. Reward Flag_x000a_0591032163  AAGCS0053ECH003  6677704  11 OCT 2017 12:10  AEJEA  273  4703  670330.07  0  10055  0  10055  N.A.  N.A.  Click here to view item wise reward details "/>
    <s v="Current Que LEO Date EP Copy Print Status DBK Scroll No Scroll Date EGM Integration Status_x000a_HIST  13 OCT 2017 00:10  Y  22374/2017  31 OCT 2017 00:10  Y "/>
    <s v="EGM No. EGM Date Container No. Seal No. Error Message_x000a_R867621410  2017-10-14 0.0.0.0  RFSU2005740  407192  N.A. "/>
    <s v="ROSL Availed Amount(INR) Scroll Number Scroll Date_x000a_N  0  ROSL NOT CLAIMED  ROSL NOT CLAIMED "/>
    <s v="GSTIN    -    09AXXXXXXXXH1ZE_x000a_Invoice Number Invoice Date IGST Paid(INR)_x000a_XXXXXXXXXX113  2017-10-10  54671 "/>
    <x v="2"/>
    <x v="0"/>
  </r>
  <r>
    <x v="0"/>
    <n v="9226280"/>
    <s v="2017/10/11"/>
    <s v="IEC CHA No. Job No. Job Date Port of Discharge Total Package Gross Weight (Kg) FOB(INR) Total Cess (INR) Drawback STR Total (DBK+STR) CIN NO. CIN DT. Reward Flag_x000a_0592023052  AASPK9028QCH001  6678324  11 OCT 2017 12:10  THLCH  12  6528  699856.63  0  13997  0  13997  N.A.  N.A.  Click here to view item wise reward details "/>
    <s v="Current Que LEO Date EP Copy Print Status DBK Scroll No Scroll Date EGM Integration Status_x000a_HIST  13 OCT 2017 00:10  Y  22528/2017  10 NOV 2017 00:11  Y "/>
    <s v="EGM No. EGM Date Container No. Seal No. Error Message_x000a_R917360111  2017-11-1 0.0.0.0  CAXU9973575  408924  N.A. "/>
    <s v="ROSL Availed Amount(INR) Scroll Number Scroll Date_x000a_N  0  ROSL NOT CLAIMED  ROSL NOT CLAIMED "/>
    <s v="GSTIN    -    06AXXXXXXXXE1ZX_x000a_Invoice Number Invoice Date IGST Paid(INR)_x000a_XXXXXXXXX032  2017-10-11  195960 "/>
    <x v="142"/>
    <x v="0"/>
  </r>
  <r>
    <x v="0"/>
    <n v="9234919"/>
    <s v="2017/10/12"/>
    <s v="IEC CHA No. Job No. Job Date Port of Discharge Total Package Gross Weight (Kg) FOB(INR) Total Cess (INR) Drawback STR Total (DBK+STR) CIN NO. CIN DT. Reward Flag_x000a_0511026242  AABCC8115GCH002  6687552  12 OCT 2017 12:10  LKCMB  10  262  321500  0  3215  0  3215  N.A.  N.A.  Click here to view item wise reward details "/>
    <s v="Current Que LEO Date EP Copy Print Status DBK Scroll No Scroll Date EGM Integration Status_x000a_HIST  16 OCT 2017 00:10  Y  22374/2017  31 OCT 2017 00:10  Y "/>
    <s v="EGM No. EGM Date Container No. Seal No. Error Message_x000a_J207942310  2017-10-23 0.0.0.0  DFSU6802732  407794  N.A. "/>
    <s v="ROSL Availed Amount(INR) Scroll Number Scroll Date_x000a_N  0  ROSL NOT CLAIMED  ROSL NOT CLAIMED "/>
    <s v="GSTIN    -    06AXXXXXXXXN1Z9_x000a_Invoice Number Invoice Date IGST Paid(INR)_x000a_XXXXXXXX-18  2017-10-11  57636 "/>
    <x v="122"/>
    <x v="0"/>
  </r>
  <r>
    <x v="0"/>
    <n v="9246037"/>
    <s v="2017/10/12"/>
    <s v="IEC CHA No. Job No. Job Date Port of Discharge Total Package Gross Weight (Kg) FOB(INR) Total Cess (INR) Drawback STR Total (DBK+STR) CIN NO. CIN DT. Reward Flag_x000a_0505000873  AOWPS6493KCH001  6699454  12 OCT 2017 12:10  MYPKG  5  3692  903209.24  0  18064  0  18064  N.A.  N.A.  Click here to view item wise reward details "/>
    <s v="Current Que LEO Date EP Copy Print Status DBK Scroll No Scroll Date EGM Integration Status_x000a_HIST  17 OCT 2017 00:10  Y  22374/2017  31 OCT 2017 00:10  Y "/>
    <s v="EGM No. EGM Date Container No. Seal No. Error Message_x000a_R157782210  2017-10-22 0.0.0.0  NYKU4430478  407751  N.A. "/>
    <s v="ROSL Availed Amount(INR) Scroll Number Scroll Date_x000a_N  0  ROSL NOT CLAIMED  ROSL NOT CLAIMED "/>
    <s v="GSTIN    -    07AXXXXXXXXB1ZS_x000a_Invoice Number Invoice Date IGST Paid(INR)_x000a_XXXXXXX017  2017-10-09  87378 "/>
    <x v="143"/>
    <x v="0"/>
  </r>
  <r>
    <x v="0"/>
    <n v="9312599"/>
    <s v="2017/10/16"/>
    <s v="IEC CHA No. Job No. Job Date Port of Discharge Total Package Gross Weight (Kg) FOB(INR) Total Cess (INR) Drawback STR Total (DBK+STR) CIN NO. CIN DT. Reward Flag_x000a_2189000734  AQBPK4529MCH001  6770438  16 OCT 2017 12:10  CNSHA  8  323  268774  0  0  0  0  N.A.  N.A.  Click here to view item wise reward details "/>
    <s v="Current Que LEO Date EP Copy Print Status DBK Scroll No Scroll Date EGM Integration Status_x000a_HIST  17 OCT 2017 00:10  Y  N.A.  N.A.  Y "/>
    <s v="EGM No. EGM Date Container No. Seal No. Error Message_x000a_R687802210  2017-10-22 0.0.0.0  HDMU2678133  40779  N.A. "/>
    <s v="ROSL Availed Amount(INR) Scroll Number Scroll Date_x000a_NULL  NULL  NULL  NULL "/>
    <s v="GSTIN    -    20AXXXXXXXXE1ZX_x000a_Invoice Number Invoice Date IGST Paid(INR)_x000a_XXXXXXXXXXXXXX17-  2017-10-04  13503 "/>
    <x v="2"/>
    <x v="1"/>
  </r>
  <r>
    <x v="0"/>
    <n v="9323426"/>
    <s v="2017/10/16"/>
    <s v="IEC CHA No. Job No. Job Date Port of Discharge Total Package Gross Weight (Kg) FOB(INR) Total Cess (INR) Drawback STR Total (DBK+STR) CIN NO. CIN DT. Reward Flag_x000a_3104003254  AAACA3307KCH003  6781876  16 OCT 2017 12:10  USSTL  2  200  251306.1  0  5026  0  5026  N.A.  N.A.  Click here to view item wise reward details "/>
    <s v="Current Que LEO Date EP Copy Print Status DBK Scroll No Scroll Date EGM Integration Status_x000a_HIST  30 OCT 2017 00:10  Y  22528/2017  10 NOV 2017 00:11  Y "/>
    <s v="EGM No. EGM Date Container No. Seal No. Error Message_x000a_T937660411  2017-11-4 0.0.0.0  SEGU4994420  408956  N.A. "/>
    <s v="ROSL Availed Amount(INR) Scroll Number Scroll Date_x000a_N  0  ROSL NOT CLAIMED  ROSL NOT CLAIMED "/>
    <s v="GSTIN    -    27AXXXXXXXXR1ZF_x000a_Invoice Number Invoice Date IGST Paid(INR)_x000a_XXXXXXXXXXXX-18  2017-10-06  63000 "/>
    <x v="144"/>
    <x v="0"/>
  </r>
  <r>
    <x v="0"/>
    <n v="9330767"/>
    <s v="2017/10/16"/>
    <s v="IEC CHA No. Job No. Job Date Port of Discharge Total Package Gross Weight (Kg) FOB(INR) Total Cess (INR) Drawback STR Total (DBK+STR) CIN NO. CIN DT. Reward Flag_x000a_0503014761  AAGFT5049NCH001  6789639  16 OCT 2017 12:10  LKCMB  74  1644.82  297663.54  0  0  0  0  N.A.  N.A.  Click here to view item wise reward details "/>
    <s v="Current Que LEO Date EP Copy Print Status DBK Scroll No Scroll Date EGM Integration Status_x000a_HIST  18 OCT 2017 00:10  Y  N.A.  N.A.  Y "/>
    <s v="EGM No. EGM Date Container No. Seal No. Error Message_x000a_T427042410  2017-10-24 0.0.0.0  TTNU9450840  407792  N.A. "/>
    <s v="ROSL Availed Amount(INR) Scroll Number Scroll Date_x000a_NULL  NULL  NULL  NULL "/>
    <s v="GSTIN    -    06AXXXXXXXXD1ZC_x000a_Invoice Number Invoice Date IGST Paid(INR)_x000a_XXXXXXXXXX016  2017-10-16  36630 "/>
    <x v="140"/>
    <x v="1"/>
  </r>
  <r>
    <x v="0"/>
    <n v="9344909"/>
    <s v="2017/10/17"/>
    <s v="IEC CHA No. Job No. Job Date Port of Discharge Total Package Gross Weight (Kg) FOB(INR) Total Cess (INR) Drawback STR Total (DBK+STR) CIN NO. CIN DT. Reward Flag_x000a_0302060855  AMJPS3049QCH001  6804691  17 OCT 2017 12:10  FRLEH  28  234.22  158602.8  0  0  0  0  N.A.  N.A.  Click here to view item wise reward details "/>
    <s v="Current Que LEO Date EP Copy Print Status DBK Scroll No Scroll Date EGM Integration Status_x000a_HIST  17 OCT 2017 00:10  Y  N.A.  N.A.  Y "/>
    <s v="EGM No. EGM Date Container No. Seal No. Error Message_x000a_T887462710  2017-10-27 0.0.0.0  SUDU1349505  408331  N.A. "/>
    <s v="ROSL Availed Amount(INR) Scroll Number Scroll Date_x000a_NULL  NULL  NULL  NULL "/>
    <s v="GSTIN    -    07AXXXXXXXXE1ZT_x000a_Invoice Number Invoice Date IGST Paid(INR)_x000a_XXXXXXXXXX367  2017-10-17  833 _x000a_XXXXXXXXXX369  2017-10-17  7096 "/>
    <x v="145"/>
    <x v="1"/>
  </r>
  <r>
    <x v="0"/>
    <n v="9346238"/>
    <s v="2017/10/17"/>
    <s v="IEC CHA No. Job No. Job Date Port of Discharge Total Package Gross Weight (Kg) FOB(INR) Total Cess (INR) Drawback STR Total (DBK+STR) CIN NO. CIN DT. Reward Flag_x000a_0594000319  AABCH1588ECH001  6806102  17 OCT 2017 12:10  USNYC  54  867.75  1233338.3  0  0  0  0  N.A.  N.A.  Click here to view item wise reward details "/>
    <s v="Current Que LEO Date EP Copy Print Status DBK Scroll No Scroll Date EGM Integration Status_x000a_HIST  24 OCT 2017 00:10  Y  N.A.  N.A.  Y "/>
    <s v="EGM No. EGM Date Container No. Seal No. Error Message_x000a_R437682810  2017-10-28 0.0.0.0  FCIU9221260  408359  N.A. "/>
    <s v="ROSL Availed Amount(INR) Scroll Number Scroll Date_x000a_NULL  NULL  NULL  NULL "/>
    <s v="GSTIN    -    07AXXXXXXXXK1ZR_x000a_Invoice Number Invoice Date IGST Paid(INR)_x000a_X212  2017-10-09  36249 "/>
    <x v="146"/>
    <x v="1"/>
  </r>
  <r>
    <x v="0"/>
    <n v="9353344"/>
    <s v="2017/10/17"/>
    <s v="IEC CHA No. Job No. Job Date Port of Discharge Total Package Gross Weight (Kg) FOB(INR) Total Cess (INR) Drawback STR Total (DBK+STR) CIN NO. CIN DT. Reward Flag_x000a_0500054339  AANPG2940CCH001  6813655  17 OCT 2017 12:10  AEJEA  18  800  346705.6  0  0  0  0  N.A.  N.A.  Click here to view item wise reward details "/>
    <s v="Current Que LEO Date EP Copy Print Status DBK Scroll No Scroll Date EGM Integration Status_x000a_HIST  18 OCT 2017 00:10  Y  N.A.  N.A.  Y "/>
    <s v="EGM No. EGM Date Container No. Seal No. Error Message_x000a_R617602810  2017-10-28 0.0.0.0  TTNU9813289  408340  N.A. "/>
    <s v="ROSL Availed Amount(INR) Scroll Number Scroll Date_x000a_NULL  NULL  NULL  NULL "/>
    <s v="GSTIN    -    07AXXXXXXXXM1ZO_x000a_Invoice Number Invoice Date IGST Paid(INR)_x000a_XXXXXXXX-18  2017-10-14  89394 "/>
    <x v="147"/>
    <x v="1"/>
  </r>
  <r>
    <x v="0"/>
    <n v="9361492"/>
    <s v="2017/10/17"/>
    <s v="IEC CHA No. Job No. Job Date Port of Discharge Total Package Gross Weight (Kg) FOB(INR) Total Cess (INR) Drawback STR Total (DBK+STR) CIN NO. CIN DT. Reward Flag_x000a_0501009990  ADGPM5173KCH001  6822335  17 OCT 2017 12:10  LKCMB  2  620.06  194300.45  0  0  0  0  N.A.  N.A.  Click here to view item wise reward details "/>
    <s v="Current Que LEO Date EP Copy Print Status DBK Scroll No Scroll Date EGM Integration Status_x000a_HIST  20 OCT 2017 00:10  Y  N.A.  N.A.  Y "/>
    <s v="EGM No. EGM Date Container No. Seal No. Error Message_x000a_J207942310  2017-10-23 0.0.0.0  DFSU6802732  407794  N.A. "/>
    <s v="ROSL Availed Amount(INR) Scroll Number Scroll Date_x000a_NULL  NULL  NULL  NULL "/>
    <s v="GSTIN    -    09AXXXXXXXXF1ZG_x000a_Invoice Number Invoice Date IGST Paid(INR)_x000a_XXXXXXXXXXX-12  2017-10-04  34975 "/>
    <x v="2"/>
    <x v="1"/>
  </r>
  <r>
    <x v="0"/>
    <n v="9425848"/>
    <s v="2017/10/23"/>
    <s v="IEC CHA No. Job No. Job Date Port of Discharge Total Package Gross Weight (Kg) FOB(INR) Total Cess (INR) Drawback STR Total (DBK+STR) CIN NO. CIN DT. Reward Flag_x000a_0500075158  ADXPJ1610RCH001  6891009  23 OCT 2017 12:10  USBOS  16  203  299259.75  0  4589  0  4589  N.A.  N.A.  Click here to view item wise reward details "/>
    <s v="Current Que LEO Date EP Copy Print Status DBK Scroll No Scroll Date EGM Integration Status_x000a_HIST  23 OCT 2017 00:10  Y  24432/2018  25 MAR 2018 00:03  Y "/>
    <s v="EGM No. EGM Date Container No. Seal No. Error Message_x000a_T567242510  2017-10-25 0.0.0.0  DRYU9359519  408313  N.A. "/>
    <s v="ROSL Availed Amount(INR) Scroll Number Scroll Date_x000a_Y  4788  25934/2018  2018-3-20 0.0.0.0 "/>
    <s v="GSTIN    -    07AXXXXXXXXP3ZI_x000a_Invoice Number Invoice Date IGST Paid(INR)_x000a_XXXXXXXXXXXXXX-18  2017-10-15  14927 "/>
    <x v="34"/>
    <x v="2"/>
  </r>
  <r>
    <x v="0"/>
    <n v="9474719"/>
    <s v="2017/10/25"/>
    <s v="IEC CHA No. Job No. Job Date Port of Discharge Total Package Gross Weight (Kg) FOB(INR) Total Cess (INR) Drawback STR Total (DBK+STR) CIN NO. CIN DT. Reward Flag_x000a_0512076341  AAJCA1821BCH001  6942905  25 OCT 2017 12:10  CUMZO  2  6000  4858347.55  0  97167  0  97167  N.A.  N.A.  Click here to view item wise reward details "/>
    <s v="Current Que LEO Date EP Copy Print Status DBK Scroll No Scroll Date EGM Integration Status_x000a_HIST  26 OCT 2017 00:10  Y  22528/2017  10 NOV 2017 00:11  Y "/>
    <s v="EGM No. EGM Date Container No. Seal No. Error Message_x000a_R867722910  2017-10-29 0.0.0.0  TGHU0568934  408516  N.A. "/>
    <s v="ROSL Availed Amount(INR) Scroll Number Scroll Date_x000a_N  0  ROSL NOT CLAIMED  ROSL NOT CLAIMED "/>
    <s v="GSTIN    -    06AXXXXXXXXE1ZX_x000a_Invoice Number Invoice Date IGST Paid(INR)_x000a_XXXXXXXXXXXXXX/10  2017-10-23  878404 "/>
    <x v="148"/>
    <x v="0"/>
  </r>
  <r>
    <x v="0"/>
    <n v="9492580"/>
    <s v="2017/10/26"/>
    <s v="IEC CHA No. Job No. Job Date Port of Discharge Total Package Gross Weight (Kg) FOB(INR) Total Cess (INR) Drawback STR Total (DBK+STR) CIN NO. CIN DT. Reward Flag_x000a_0510085423  AABCI7233BCH010  6961872  26 OCT 2017 12:10  LKCMB  6  38.4  32716.5  0  658  0  658  N.A.  N.A.  Click here to view item wise reward details "/>
    <s v="Current Que LEO Date EP Copy Print Status DBK Scroll No Scroll Date EGM Integration Status_x000a_HIST  28 OCT 2017 00:10  Y  22528/2017  10 NOV 2017 00:11  Y "/>
    <s v="EGM No. EGM Date Container No. Seal No. Error Message_x000a_R597123010  2017-10-30 0.0.0.0  ZCSU2655603  408394  N.A. "/>
    <s v="ROSL Availed Amount(INR) Scroll Number Scroll Date_x000a_N  0  ROSL NOT CLAIMED  ROSL NOT CLAIMED "/>
    <s v="GSTIN    -    07AXXXXXXXXK1ZW_x000a_Invoice Number Invoice Date IGST Paid(INR)_x000a_XXXXXXXXXXXXX146  2017-10-25  3925 "/>
    <x v="149"/>
    <x v="0"/>
  </r>
  <r>
    <x v="0"/>
    <n v="9510284"/>
    <s v="2017/10/26"/>
    <s v="IEC CHA No. Job No. Job Date Port of Discharge Total Package Gross Weight (Kg) FOB(INR) Total Cess (INR) Drawback STR Total (DBK+STR) CIN NO. CIN DT. Reward Flag_x000a_0504064754  FHMPS1058ECH001  6980662  26 OCT 2017 12:10  LKCMB  2  198  85736.48  0  1715  0  1715  N.A.  N.A.  Click here to view item wise reward details "/>
    <s v="Current Que LEO Date EP Copy Print Status DBK Scroll No Scroll Date EGM Integration Status_x000a_HIST  27 OCT 2017 00:10  Y  22753/2017  24 NOV 2017 00:11  Y "/>
    <s v="EGM No. EGM Date Container No. Seal No. Error Message_x000a_R117101311  2017-11-13 0.0.0.0  GLDU7092036  410152  N.A. "/>
    <s v="ROSL Availed Amount(INR) Scroll Number Scroll Date_x000a_N  0  ROSL NOT CLAIMED  ROSL NOT CLAIMED "/>
    <s v="GSTIN    -    09AXXXXXXXXP2ZF_x000a_Invoice Number Invoice Date IGST Paid(INR)_x000a_XXXXXXXXX/22  2017-10-17  4296 "/>
    <x v="150"/>
    <x v="0"/>
  </r>
  <r>
    <x v="0"/>
    <n v="9522381"/>
    <s v="2017/10/27"/>
    <s v="IEC CHA No. Job No. Job Date Port of Discharge Total Package Gross Weight (Kg) FOB(INR) Total Cess (INR) Drawback STR Total (DBK+STR) CIN NO. CIN DT. Reward Flag_x000a_0507051360  ACOPV0617QCH001  6993498  27 OCT 2017 12:10  JPNGY  4  2620  3403998.88  0  0  0  0  N.A.  N.A.  Click here to view item wise reward details "/>
    <s v="Current Que LEO Date EP Copy Print Status DBK Scroll No Scroll Date EGM Integration Status_x000a_HIST  01 NOV 2017 00:11  Y  N.A.  N.A.  Y "/>
    <s v="EGM No. EGM Date Container No. Seal No. Error Message_x000a_R1237600311  2017-11-3 0.0.0.0  TCLU8954847  409204  N.A. "/>
    <s v="ROSL Availed Amount(INR) Scroll Number Scroll Date_x000a_NULL  NULL  NULL  NULL "/>
    <s v="GSTIN    -    09AXXXXXXXXR1ZJ_x000a_Invoice Number Invoice Date IGST Paid(INR)_x000a_XXXXXXXXXXXXX001  2017-10-25  956079 "/>
    <x v="151"/>
    <x v="1"/>
  </r>
  <r>
    <x v="0"/>
    <n v="9531547"/>
    <s v="2017/10/27"/>
    <s v="IEC CHA No. Job No. Job Date Port of Discharge Total Package Gross Weight (Kg) FOB(INR) Total Cess (INR) Drawback STR Total (DBK+STR) CIN NO. CIN DT. Reward Flag_x000a_0500048967  AFXPK5610ECH001  7003225  27 OCT 2017 12:10  NZLYT  26  623.04  243048  0  0  0  0  N.A.  N.A.  Click here to view item wise reward details "/>
    <s v="Current Que LEO Date EP Copy Print Status DBK Scroll No Scroll Date EGM Integration Status_x000a_HIST  30 OCT 2017 00:10  Y  N.A.  N.A.  Y "/>
    <s v="EGM No. EGM Date Container No. Seal No. Error Message_x000a_J237680411  2017-11-4 0.0.0.0  TCLU3101163  408966  N.A. "/>
    <s v="ROSL Availed Amount(INR) Scroll Number Scroll Date_x000a_NULL  NULL  NULL  NULL "/>
    <s v="GSTIN    -    07AXXXXXXXXQ1ZX_x000a_Invoice Number Invoice Date IGST Paid(INR)_x000a_XXXXXXXXXXX-18  2017-09-25  29163 "/>
    <x v="152"/>
    <x v="1"/>
  </r>
  <r>
    <x v="0"/>
    <n v="9535945"/>
    <s v="2017/10/27"/>
    <s v="IEC CHA No. Job No. Job Date Port of Discharge Total Package Gross Weight (Kg) FOB(INR) Total Cess (INR) Drawback STR Total (DBK+STR) CIN NO. CIN DT. Reward Flag_x000a_0592023052  FHMPS1058ECH001  7007875  27 OCT 2017 12:10  MYPKG  1  516.28  190774.4  0  3815  0  3815  N.A.  N.A.  Click here to view item wise reward details "/>
    <s v="Current Que LEO Date EP Copy Print Status DBK Scroll No Scroll Date EGM Integration Status_x000a_HIST  30 OCT 2017 00:10  Y  22528/2017  10 NOV 2017 00:11  Y "/>
    <s v="EGM No. EGM Date Container No. Seal No. Error Message_x000a_J237680411  2017-11-4 0.0.0.0  HNSU2035740  408975  N.A. "/>
    <s v="ROSL Availed Amount(INR) Scroll Number Scroll Date_x000a_N  0  ROSL NOT CLAIMED  ROSL NOT CLAIMED "/>
    <s v="GSTIN    -    06AXXXXXXXXE4ZU_x000a_Invoice Number Invoice Date IGST Paid(INR)_x000a_XXXXXXXXXXXXXX17-  2017-09-28  54045 "/>
    <x v="153"/>
    <x v="0"/>
  </r>
  <r>
    <x v="0"/>
    <n v="9536682"/>
    <s v="2017/10/27"/>
    <s v="IEC CHA No. Job No. Job Date Port of Discharge Total Package Gross Weight (Kg) FOB(INR) Total Cess (INR) Drawback STR Total (DBK+STR) CIN NO. CIN DT. Reward Flag_x000a_0511002459  AACCJ6018NCH001  7008660  27 OCT 2017 12:10  ZAJNB  2  619.2  275331.8  0  5507  0  5507  N.A.  N.A.  Click here to view item wise reward details "/>
    <s v="Current Que LEO Date EP Copy Print Status DBK Scroll No Scroll Date EGM Integration Status_x000a_HIST  01 NOV 2017 00:11  Y  22753/2017  24 NOV 2017 00:11  Y "/>
    <s v="EGM No. EGM Date Container No. Seal No. Error Message_x000a_T417481011  2017-11-10 0.0.0.0  NYKU3240133  409783  N.A. "/>
    <s v="ROSL Availed Amount(INR) Scroll Number Scroll Date_x000a_N  0  ROSL NOT CLAIMED  ROSL NOT CLAIMED "/>
    <s v="GSTIN    -    06AXXXXXXXXK1ZR_x000a_Invoice Number Invoice Date IGST Paid(INR)_x000a_XXXXXXXXXX718  2017-10-24  45882 "/>
    <x v="154"/>
    <x v="0"/>
  </r>
  <r>
    <x v="0"/>
    <n v="9565498"/>
    <s v="2017/10/30"/>
    <s v="IEC CHA No. Job No. Job Date Port of Discharge Total Package Gross Weight (Kg) FOB(INR) Total Cess (INR) Drawback STR Total (DBK+STR) CIN NO. CIN DT. Reward Flag_x000a_0508028078  AAECB3928MCH001  7039088  30 OCT 2017 12:10  DEHAM  1  465  273728  0  0  0  0  N.A.  N.A.  Click here to view item wise reward details "/>
    <s v="Current Que LEO Date EP Copy Print Status DBK Scroll No Scroll Date EGM Integration Status_x000a_HIST  02 NOV 2017 00:11  Y  N.A.  N.A.  Y "/>
    <s v="EGM No. EGM Date Container No. Seal No. Error Message_x000a_R857060711  2017-11-7 0.0.0.0  BMOU5903388  408984  N.A. "/>
    <s v="ROSL Availed Amount(INR) Scroll Number Scroll Date_x000a_NULL  NULL  NULL  NULL "/>
    <s v="GSTIN    -    06AXXXXXXXXD1Z2_x000a_Invoice Number Invoice Date IGST Paid(INR)_x000a_XXXXXXXXXX263  2017-09-28  59984 "/>
    <x v="155"/>
    <x v="1"/>
  </r>
  <r>
    <x v="0"/>
    <n v="9572277"/>
    <s v="2017/10/30"/>
    <s v="IEC CHA No. Job No. Job Date Port of Discharge Total Package Gross Weight (Kg) FOB(INR) Total Cess (INR) Drawback STR Total (DBK+STR) CIN NO. CIN DT. Reward Flag_x000a_0517542374  AAJPK0196LCH001  7046224  30 OCT 2017 12:10  AEJEA  11  13950  975000  0  19500  0  19500  N.A.  N.A.  Click here to view item wise reward details "/>
    <s v="Current Que LEO Date EP Copy Print Status DBK Scroll No Scroll Date EGM Integration Status_x000a_HIST  09 NOV 2017 00:11  Y  22753/2017  24 NOV 2017 00:11  Y "/>
    <s v="EGM No. EGM Date Container No. Seal No. Error Message_x000a_R1307141411  2017-11-14 0.0.0.0  BSIU9258478  410288  N.A. "/>
    <s v="ROSL Availed Amount(INR) Scroll Number Scroll Date_x000a_N  0  ROSL NOT CLAIMED  ROSL NOT CLAIMED "/>
    <s v="GSTIN    -    06AXXXXXXXXR1ZC_x000a_Invoice Number Invoice Date IGST Paid(INR)_x000a_XXX/02  2017-10-20  175500 "/>
    <x v="156"/>
    <x v="0"/>
  </r>
  <r>
    <x v="0"/>
    <n v="9575454"/>
    <s v="2017/10/30"/>
    <s v="IEC CHA No. Job No. Job Date Port of Discharge Total Package Gross Weight (Kg) FOB(INR) Total Cess (INR) Drawback STR Total (DBK+STR) CIN NO. CIN DT. Reward Flag_x000a_0591028549  AAECB3928MCH001  7049582  30 OCT 2017 12:10  USHOU  1  271.647  255637.75  0  0  0  0  N.A.  N.A.  Click here to view item wise reward details "/>
    <s v="Current Que LEO Date EP Copy Print Status DBK Scroll No Scroll Date EGM Integration Status_x000a_HIST  02 NOV 2017 00:11  Y  N.A.  N.A.  Y "/>
    <s v="EGM No. EGM Date Container No. Seal No. Error Message_x000a_R917281511  2017-11-15 0.0.0.0  MSKU5046484  410116  N.A. "/>
    <s v="ROSL Availed Amount(INR) Scroll Number Scroll Date_x000a_NULL  NULL  NULL  NULL "/>
    <s v="GSTIN    -    06AXXXXXXXXJ2ZR_x000a_Invoice Number Invoice Date IGST Paid(INR)_x000a_XXXXX-18  2017-09-20  45511 "/>
    <x v="157"/>
    <x v="1"/>
  </r>
  <r>
    <x v="0"/>
    <n v="9580505"/>
    <s v="2017/10/30"/>
    <s v="IEC CHA No. Job No. Job Date Port of Discharge Total Package Gross Weight (Kg) FOB(INR) Total Cess (INR) Drawback STR Total (DBK+STR) CIN NO. CIN DT. Reward Flag_x000a_3104003254  AAACA3307KCH003  7054953  30 OCT 2017 12:10  ARBUE  6  888  973732.85  0  19475  0  19475  N.A.  N.A.  Click here to view item wise reward details "/>
    <s v="Current Que LEO Date EP Copy Print Status DBK Scroll No Scroll Date EGM Integration Status_x000a_HIST  10 NOV 2017 00:11  Y  22753/2017  24 NOV 2017 00:11  Y "/>
    <s v="EGM No. EGM Date Container No. Seal No. Error Message_x000a_T897181411  2017-11-14 0.0.0.0  GVCU5235474  410172  N.A. "/>
    <s v="ROSL Availed Amount(INR) Scroll Number Scroll Date_x000a_N  0  ROSL NOT CLAIMED  ROSL NOT CLAIMED "/>
    <s v="GSTIN    -    27AXXXXXXXXR1ZF_x000a_Invoice Number Invoice Date IGST Paid(INR)_x000a_XXXXXXXXXXXXXX-18  2017-10-26  168000 "/>
    <x v="158"/>
    <x v="0"/>
  </r>
  <r>
    <x v="0"/>
    <n v="9597287"/>
    <s v="2017/10/31"/>
    <s v="IEC CHA No. Job No. Job Date Port of Discharge Total Package Gross Weight (Kg) FOB(INR) Total Cess (INR) Drawback STR Total (DBK+STR) CIN NO. CIN DT. Reward Flag_x000a_0506059944  AGYPS4804QCH001  7072682  31 OCT 2017 12:10  QADOH  374  18737.4  189434.95  0  0  0  0  N.A.  N.A.  Click here to view item wise reward details "/>
    <s v="Current Que LEO Date EP Copy Print Status DBK Scroll No Scroll Date EGM Integration Status_x000a_HIST  02 NOV 2017 00:11  Y  N.A.  N.A.  Y "/>
    <s v="EGM No. EGM Date Container No. Seal No. Error Message_x000a_J237680411  2017-11-4 0.0.0.0  BSIU2923410  409431  N.A. "/>
    <s v="ROSL Availed Amount(INR) Scroll Number Scroll Date_x000a_NULL  NULL  NULL  NULL "/>
    <s v="GSTIN    -    07AXXXXXXXXL1Z8_x000a_Invoice Number Invoice Date IGST Paid(INR)_x000a_XXXXXXXX001  2017-10-27  10914 "/>
    <x v="159"/>
    <x v="1"/>
  </r>
  <r>
    <x v="0"/>
    <n v="9603076"/>
    <s v="2017/10/31"/>
    <s v="IEC CHA No. Job No. Job Date Port of Discharge Total Package Gross Weight (Kg) FOB(INR) Total Cess (INR) Drawback STR Total (DBK+STR) CIN NO. CIN DT. Reward Flag_x000a_0597017891  AAZPM1462DCH001  7078745  31 OCT 2017 12:10  ESVLC  50  715.9  176314.99  0  2515  0  2515  N.A.  N.A.  Click here to view item wise reward details "/>
    <s v="Current Que LEO Date EP Copy Print Status DBK Scroll No Scroll Date EGM Integration Status_x000a_HIST  13 NOV 2017 00:11  Y  22753/2017  24 NOV 2017 00:11  Y "/>
    <s v="EGM No. EGM Date Container No. Seal No. Error Message_x000a_T257561711  2017-11-17 0.0.0.0  CCLU3768859  410722  N.A. "/>
    <s v="ROSL Availed Amount(INR) Scroll Number Scroll Date_x000a_N  0  ROSL NOT CLAIMED  ROSL NOT CLAIMED "/>
    <s v="GSTIN    -    07AXXXXXXXXF1Z3_x000a_Invoice Number Invoice Date IGST Paid(INR)_x000a_XXXXXXXXX066  2017-10-10  35768 "/>
    <x v="160"/>
    <x v="0"/>
  </r>
  <r>
    <x v="0"/>
    <n v="9612572"/>
    <s v="2017/10/31"/>
    <s v="IEC CHA No. Job No. Job Date Port of Discharge Total Package Gross Weight (Kg) FOB(INR) Total Cess (INR) Drawback STR Total (DBK+STR) CIN NO. CIN DT. Reward Flag_x000a_0597017891  AAACT0334RCH001  7088779  31 OCT 2017 12:10  USLAX  58  1299.1  309895.82  0  4926  0  4926  N.A.  N.A.  Click here to view item wise reward details "/>
    <s v="Current Que LEO Date EP Copy Print Status DBK Scroll No Scroll Date EGM Integration Status_x000a_HIST  08 NOV 2017 00:11  Y  22753/2017  24 NOV 2017 00:11  Y "/>
    <s v="EGM No. EGM Date Container No. Seal No. Error Message_x000a_R917281511  2017-11-15 0.0.0.0  CRXU9830141  410173  N.A. "/>
    <s v="ROSL Availed Amount(INR) Scroll Number Scroll Date_x000a_N  0  ROSL NOT CLAIMED  ROSL NOT CLAIMED "/>
    <s v="GSTIN    -    07AXXXXXXXXF1Z3_x000a_Invoice Number Invoice Date IGST Paid(INR)_x000a_XXXXXXXXX068  2017-10-30  39496 "/>
    <x v="161"/>
    <x v="0"/>
  </r>
  <r>
    <x v="0"/>
    <n v="9626392"/>
    <s v="2017/11/01"/>
    <s v="IEC CHA No. Job No. Job Date Port of Discharge Total Package Gross Weight (Kg) FOB(INR) Total Cess (INR) Drawback STR Total (DBK+STR) CIN NO. CIN DT. Reward Flag_x000a_0504038966  AAACU5306LCH002  7103357  01 NOV 2017 12:11  NLRTM  2  1487  220967.68  0  4419  0  4419  N.A.  N.A.  Click here to view item wise reward details "/>
    <s v="Current Que LEO Date EP Copy Print Status DBK Scroll No Scroll Date EGM Integration Status_x000a_HIST  07 NOV 2017 00:11  Y  22753/2017  24 NOV 2017 00:11  Y "/>
    <s v="EGM No. EGM Date Container No. Seal No. Error Message_x000a_R757340911  2017-11-9 0.0.0.0  CAIU2219324  409773  N.A. "/>
    <s v="ROSL Availed Amount(INR) Scroll Number Scroll Date_x000a_N  0  ROSL NOT CLAIMED  ROSL NOT CLAIMED "/>
    <s v="GSTIN    -    06AXXXXXXXXD1ZM_x000a_Invoice Number Invoice Date IGST Paid(INR)_x000a_XXXXXX/11  2017-10-27  61871 "/>
    <x v="162"/>
    <x v="0"/>
  </r>
  <r>
    <x v="0"/>
    <n v="9653631"/>
    <s v="2017/11/02"/>
    <s v="IEC CHA No. Job No. Job Date Port of Discharge Total Package Gross Weight (Kg) FOB(INR) Total Cess (INR) Drawback STR Total (DBK+STR) CIN NO. CIN DT. Reward Flag_x000a_0511002459  AACCJ6018NCH001  7132173  02 NOV 2017 12:11  AEJEA  1  360.4  95400.03  0  1908  0  1908  N.A.  N.A.  Click here to view item wise reward details "/>
    <s v="Current Que LEO Date EP Copy Print Status DBK Scroll No Scroll Date EGM Integration Status_x000a_HIST  10 NOV 2017 00:11  Y  22850/2017  30 NOV 2017 00:11  Y "/>
    <s v="EGM No. EGM Date Container No. Seal No. Error Message_x000a_R67142711  2017-11-27 0.0.0.0  TRHU3490683  411926  N.A. "/>
    <s v="ROSL Availed Amount(INR) Scroll Number Scroll Date_x000a_N  0  ROSL NOT CLAIMED  ROSL NOT CLAIMED "/>
    <s v="GSTIN    -    06AXXXXXXXXK1ZR_x000a_Invoice Number Invoice Date IGST Paid(INR)_x000a_XXXXXXXXXX718  2017-11-02  17288 "/>
    <x v="163"/>
    <x v="0"/>
  </r>
  <r>
    <x v="0"/>
    <n v="9675183"/>
    <s v="2017/11/03"/>
    <s v="IEC CHA No. Job No. Job Date Port of Discharge Total Package Gross Weight (Kg) FOB(INR) Total Cess (INR) Drawback STR Total (DBK+STR) CIN NO. CIN DT. Reward Flag_x000a_0288014952  AVAPS6694RCH001  7155035  03 NOV 2017 12:11  BDCGP  94  3601  1018340.05  0  19416  0  19416  N.A.  N.A.  Click here to view item wise reward details "/>
    <s v="Current Que LEO Date EP Copy Print Status DBK Scroll No Scroll Date EGM Integration Status_x000a_HIST  06 NOV 2017 00:11  Y  23643/2018  31 JAN 2018 00:01  Y "/>
    <s v="EGM No. EGM Date Container No. Seal No. Error Message_x000a_T957380911  2017-11-9 0.0.0.0  CAIU8861239  409849  N.A. "/>
    <s v="ROSL Availed Amount(INR) Scroll Number Scroll Date_x000a_N  0  ROSL NOT CLAIMED  ROSL NOT CLAIMED "/>
    <s v="GSTIN    -    19AXXXXXXXXC1ZW_x000a_Invoice Number Invoice Date IGST Paid(INR)_x000a_XXXXXXXXXXXX017  2017-10-31  194792 "/>
    <x v="2"/>
    <x v="0"/>
  </r>
  <r>
    <x v="0"/>
    <n v="9683009"/>
    <s v="2017/11/03"/>
    <s v="IEC CHA No. Job No. Job Date Port of Discharge Total Package Gross Weight (Kg) FOB(INR) Total Cess (INR) Drawback STR Total (DBK+STR) CIN NO. CIN DT. Reward Flag_x000a_3014016713  AAACV8475HCH022  7163347  03 NOV 2017 12:11  NZAKL  79  1076.5  712293.4  0  10684  0  10684  N.A.  N.A.  Click here to view item wise reward details "/>
    <s v="Current Que LEO Date EP Copy Print Status DBK Scroll No Scroll Date EGM Integration Status_x000a_HIST  08 NOV 2017 00:11  Y  22753/2017  24 NOV 2017 00:11  Y "/>
    <s v="EGM No. EGM Date Container No. Seal No. Error Message_x000a_R987721111  2017-11-11 0.0.0.0  HMMU6037769  409797  N.A. "/>
    <s v="ROSL Availed Amount(INR) Scroll Number Scroll Date_x000a_N  0  ROSL NOT CLAIMED  ROSL NOT CLAIMED "/>
    <s v="GSTIN    -    03AXXXXXXXXN2Z7_x000a_Invoice Number Invoice Date IGST Paid(INR)_x000a_04  2017-11-02  198470 "/>
    <x v="154"/>
    <x v="0"/>
  </r>
  <r>
    <x v="0"/>
    <n v="9683904"/>
    <s v="2017/11/03"/>
    <s v="IEC CHA No. Job No. Job Date Port of Discharge Total Package Gross Weight (Kg) FOB(INR) Total Cess (INR) Drawback STR Total (DBK+STR) CIN NO. CIN DT. Reward Flag_x000a_3303004897  AAKFT7074RCH001  7164309  03 NOV 2017 12:11  IRBND  5  41  128124.91  0  0  0  0  N.A.  N.A.  Click here to view item wise reward details "/>
    <s v="Current Que LEO Date EP Copy Print Status DBK Scroll No Scroll Date EGM Integration Status_x000a_HIST  16 DEC 2017 00:12  Y  N.A.  N.A.  Y "/>
    <s v="EGM No. EGM Date Container No. Seal No. Error Message_x000a_T437622212  2017-12-22 0.0.0.0  TCKU3159445  414297  N.A. "/>
    <s v="ROSL Availed Amount(INR) Scroll Number Scroll Date_x000a_NULL  NULL  NULL  NULL "/>
    <s v="GSTIN    -    06AXXXXXXXXC1ZC_x000a_Invoice Number Invoice Date IGST Paid(INR)_x000a_1  2017-10-26  25511 "/>
    <x v="164"/>
    <x v="1"/>
  </r>
  <r>
    <x v="0"/>
    <n v="9687200"/>
    <s v="2017/11/03"/>
    <s v="IEC CHA No. Job No. Job Date Port of Discharge Total Package Gross Weight (Kg) FOB(INR) Total Cess (INR) Drawback STR Total (DBK+STR) CIN NO. CIN DT. Reward Flag_x000a_0506074285  AAEPI0406QCH001  7167836  03 NOV 2017 12:11  USNYC  17  222.19  440248.38  0  8805  0  8805  N.A.  N.A.  Click here to view item wise reward details "/>
    <s v="Current Que LEO Date EP Copy Print Status DBK Scroll No Scroll Date EGM Integration Status_x000a_HIST  07 NOV 2017 00:11  Y  22753/2017  24 NOV 2017 00:11  Y "/>
    <s v="EGM No. EGM Date Container No. Seal No. Error Message_x000a_R627641011  2017-11-10 0.0.0.0  TRLU7601994  410141  N.A. "/>
    <s v="ROSL Availed Amount(INR) Scroll Number Scroll Date_x000a_Y  7484  25863/2017  2017-11-20 0.0.0.0 "/>
    <s v="GSTIN    -    06AXXXXXXXXD1Z0_x000a_Invoice Number Invoice Date IGST Paid(INR)_x000a_XXXXXXXXXXX-18  2017-11-02  22038 "/>
    <x v="2"/>
    <x v="2"/>
  </r>
  <r>
    <x v="0"/>
    <n v="9721864"/>
    <s v="2017/11/06"/>
    <s v="IEC CHA No. Job No. Job Date Port of Discharge Total Package Gross Weight (Kg) FOB(INR) Total Cess (INR) Drawback STR Total (DBK+STR) CIN NO. CIN DT. Reward Flag_x000a_0598032801  ADDPA2722RCH001  7204550  06 NOV 2017 12:11  BHBAH  273  4000  641675.58  0  9717  0  9717  N.A.  N.A.  Click here to view item wise reward details "/>
    <s v="Current Que LEO Date EP Copy Print Status DBK Scroll No Scroll Date EGM Integration Status_x000a_HIST  08 NOV 2017 00:11  Y  22753/2017  24 NOV 2017 00:11  Y "/>
    <s v="EGM No. EGM Date Container No. Seal No. Error Message_x000a_R667661111  2017-11-11 0.0.0.0  TRHU1567894  409974  N.A. "/>
    <s v="ROSL Availed Amount(INR) Scroll Number Scroll Date_x000a_N  0  ROSL NOT CLAIMED  ROSL NOT CLAIMED "/>
    <s v="GSTIN    -    07AXXXXXXXXH1Z8_x000a_Invoice Number Invoice Date IGST Paid(INR)_x000a_XXXXXXXX017  2017-11-06  92965 "/>
    <x v="165"/>
    <x v="0"/>
  </r>
  <r>
    <x v="0"/>
    <n v="9725059"/>
    <s v="2017/11/06"/>
    <s v="IEC CHA No. Job No. Job Date Port of Discharge Total Package Gross Weight (Kg) FOB(INR) Total Cess (INR) Drawback STR Total (DBK+STR) CIN NO. CIN DT. Reward Flag_x000a_0515933520  AAFCS0723ACH002  7207933  06 NOV 2017 12:11  TZDAR  38  1838.04  1017689.67  0  14244  0  14244  N.A.  N.A.  Click here to view item wise reward details "/>
    <s v="Current Que LEO Date EP Copy Print Status DBK Scroll No Scroll Date EGM Integration Status_x000a_HIST  09 NOV 2017 00:11  Y  22753/2017  24 NOV 2017 00:11  Y "/>
    <s v="EGM No. EGM Date Container No. Seal No. Error Message_x000a_T897181411  2017-11-14 0.0.0.0  GVCU5235474  410172  N.A. "/>
    <s v="ROSL Availed Amount(INR) Scroll Number Scroll Date_x000a_N  0  ROSL NOT CLAIMED  ROSL NOT CLAIMED "/>
    <s v="GSTIN    -    06AXXXXXXXXN1ZN_x000a_Invoice Number Invoice Date IGST Paid(INR)_x000a_008  2017-10-28  251421 "/>
    <x v="166"/>
    <x v="0"/>
  </r>
  <r>
    <x v="0"/>
    <n v="9731029"/>
    <s v="2017/11/06"/>
    <s v="IEC CHA No. Job No. Job Date Port of Discharge Total Package Gross Weight (Kg) FOB(INR) Total Cess (INR) Drawback STR Total (DBK+STR) CIN NO. CIN DT. Reward Flag_x000a_0507062884  AYZPP5973GCH001  7214312  06 NOV 2017 12:11  BRSSZ  55  2712  1399905  0  27998  0  27998  N.A.  N.A.  Click here to view item wise reward details "/>
    <s v="Current Que LEO Date EP Copy Print Status DBK Scroll No Scroll Date EGM Integration Status_x000a_HIST  09 NOV 2017 00:11  Y  22753/2017  24 NOV 2017 00:11  Y "/>
    <s v="EGM No. EGM Date Container No. Seal No. Error Message_x000a_R827541011  2017-11-10 0.0.0.0  FSCU8189292  003299  N.A. "/>
    <s v="ROSL Availed Amount(INR) Scroll Number Scroll Date_x000a_N  0  ROSL NOT CLAIMED  ROSL NOT CLAIMED "/>
    <s v="GSTIN    -    09AXXXXXXXXJ1Z6_x000a_Invoice Number Invoice Date IGST Paid(INR)_x000a_XXXXXXXXXXX018  2017-11-06  251970 "/>
    <x v="167"/>
    <x v="0"/>
  </r>
  <r>
    <x v="0"/>
    <n v="9736929"/>
    <s v="2017/11/07"/>
    <s v="IEC CHA No. Job No. Job Date Port of Discharge Total Package Gross Weight (Kg) FOB(INR) Total Cess (INR) Drawback STR Total (DBK+STR) CIN NO. CIN DT. Reward Flag_x000a_0515019933  AADCA0273BCH001  7220585  07 NOV 2017 12:11  BJCOO  859  26003.19  8942925.17  0  178859  0  178859  N.A.  N.A.  Click here to view item wise reward details "/>
    <s v="Current Que LEO Date EP Copy Print Status DBK Scroll No Scroll Date EGM Integration Status_x000a_HIST  08 NOV 2017 00:11  Y  22753/2017  24 NOV 2017 00:11  Y "/>
    <s v="EGM No. EGM Date Container No. Seal No. Error Message_x000a_TX207081311  2017-11-13 0.0.0.0  MSKU2352794  410286  N.A. "/>
    <s v="ROSL Availed Amount(INR) Scroll Number Scroll Date_x000a_N  0  ROSL NOT CLAIMED  ROSL NOT CLAIMED "/>
    <s v="GSTIN    -    07AXXXXXXXXN2Z8_x000a_Invoice Number Invoice Date IGST Paid(INR)_x000a_XXXXXX-18  2017-11-04  1073135 "/>
    <x v="168"/>
    <x v="0"/>
  </r>
  <r>
    <x v="0"/>
    <n v="9738912"/>
    <s v="2017/11/07"/>
    <s v="IEC CHA No. Job No. Job Date Port of Discharge Total Package Gross Weight (Kg) FOB(INR) Total Cess (INR) Drawback STR Total (DBK+STR) CIN NO. CIN DT. Reward Flag_x000a_0615002285  AAIFP4144LCH001  7222734  07 NOV 2017 12:11  IRBND  1304  18977.5  3567531.24  0  53513  0  53513  N.A.  N.A.  Click here to view item wise reward details "/>
    <s v="Current Que LEO Date EP Copy Print Status DBK Scroll No Scroll Date EGM Integration Status_x000a_HIST  14 NOV 2017 00:11  Y  24432/2018  25 MAR 2018 00:03  Y "/>
    <s v="EGM No. EGM Date Container No. Seal No. Error Message_x000a_T707501711  2017-11-17 0.0.0.0  TTNU9712600  410620  N.A. "/>
    <s v="ROSL Availed Amount(INR) Scroll Number Scroll Date_x000a_N  0  ROSL NOT CLAIMED  ROSL NOT CLAIMED "/>
    <s v="GSTIN    -    09AXXXXXXXXF1ZF_x000a_Invoice Number Invoice Date IGST Paid(INR)_x000a_XXXXXXXXXXX-18  2017-10-24  483215 "/>
    <x v="169"/>
    <x v="0"/>
  </r>
  <r>
    <x v="0"/>
    <n v="9741196"/>
    <s v="2017/11/07"/>
    <s v="IEC CHA No. Job No. Job Date Port of Discharge Total Package Gross Weight (Kg) FOB(INR) Total Cess (INR) Drawback STR Total (DBK+STR) CIN NO. CIN DT. Reward Flag_x000a_0504008455  AHDPK8975CCH001  7225133  07 NOV 2017 12:11  KEMBA  49  940.02  343317.52  0  6866  0  6866  N.A.  N.A.  Click here to view item wise reward details "/>
    <s v="Current Que LEO Date EP Copy Print Status DBK Scroll No Scroll Date EGM Integration Status_x000a_HIST  09 NOV 2017 00:11  Y  22753/2017  24 NOV 2017 00:11  Y "/>
    <s v="EGM No. EGM Date Container No. Seal No. Error Message_x000a_R627641011  2017-11-10 0.0.0.0  GESU5146944  410131  N.A. "/>
    <s v="ROSL Availed Amount(INR) Scroll Number Scroll Date_x000a_N  0  ROSL NOT CLAIMED  ROSL NOT CLAIMED "/>
    <s v="GSTIN    -    07AXXXXXXXXD1Z2_x000a_Invoice Number Invoice Date IGST Paid(INR)_x000a_XXX004  2017-10-25  96124 "/>
    <x v="170"/>
    <x v="0"/>
  </r>
  <r>
    <x v="0"/>
    <n v="9776960"/>
    <s v="2017/11/08"/>
    <s v="IEC CHA No. Job No. Job Date Port of Discharge Total Package Gross Weight (Kg) FOB(INR) Total Cess (INR) Drawback STR Total (DBK+STR) CIN NO. CIN DT. Reward Flag_x000a_0597017891  AAZPM1462DCH001  7263106  08 NOV 2017 12:11  AEJEA  21  478.3  93799.52  0  1820  0  1820  N.A.  N.A.  Click here to view item wise reward details "/>
    <s v="Current Que LEO Date EP Copy Print Status DBK Scroll No Scroll Date EGM Integration Status_x000a_HIST  13 NOV 2017 00:11  Y  24432/2018  25 MAR 2018 00:03  Y "/>
    <s v="EGM No. EGM Date Container No. Seal No. Error Message_x000a_T257561711  2017-11-17 0.0.0.0  PALU5007291  410729  N.A. "/>
    <s v="ROSL Availed Amount(INR) Scroll Number Scroll Date_x000a_N  0  ROSL NOT CLAIMED  ROSL NOT CLAIMED "/>
    <s v="GSTIN    -    07AXXXXXXXXF1Z3_x000a_Invoice Number Invoice Date IGST Paid(INR)_x000a_XXXXXXXXX069  2017-10-11  11441 "/>
    <x v="171"/>
    <x v="0"/>
  </r>
  <r>
    <x v="0"/>
    <n v="9786910"/>
    <s v="2017/11/09"/>
    <s v="IEC CHA No. Job No. Job Date Port of Discharge Total Package Gross Weight (Kg) FOB(INR) Total Cess (INR) Drawback STR Total (DBK+STR) CIN NO. CIN DT. Reward Flag_x000a_0515019372  BEEPS0785MCH001  7273642  09 NOV 2017 12:11  ITNPL  153  2662.45  806736.74  0  12289  0  12289  N.A.  N.A.  Click here to view item wise reward details "/>
    <s v="Current Que LEO Date EP Copy Print Status DBK Scroll No Scroll Date EGM Integration Status_x000a_HIST  10 NOV 2017 00:11  Y  22753/2017  24 NOV 2017 00:11  Y "/>
    <s v="EGM No. EGM Date Container No. Seal No. Error Message_x000a_TX207081311  2017-11-13 0.0.0.0  MSCU6791570  410437  N.A. "/>
    <s v="ROSL Availed Amount(INR) Scroll Number Scroll Date_x000a_N  0  ROSL NOT CLAIMED  ROSL NOT CLAIMED "/>
    <s v="GSTIN    -    07AXXXXXXXXH1ZA_x000a_Invoice Number Invoice Date IGST Paid(INR)_x000a_XXXXXXXXXXX-18  2017-11-03  46027 "/>
    <x v="172"/>
    <x v="0"/>
  </r>
  <r>
    <x v="0"/>
    <n v="9791045"/>
    <s v="2017/11/09"/>
    <s v="IEC CHA No. Job No. Job Date Port of Discharge Total Package Gross Weight (Kg) FOB(INR) Total Cess (INR) Drawback STR Total (DBK+STR) CIN NO. CIN DT. Reward Flag_x000a_0500075158  ADXPJ1610RCH001  7278026  09 NOV 2017 12:11  USBOS  7  78  206292.45  0  4126  0  4126  N.A.  N.A.  Click here to view item wise reward details "/>
    <s v="Current Que LEO Date EP Copy Print Status DBK Scroll No Scroll Date EGM Integration Status_x000a_HIST  10 NOV 2017 00:11  Y  22753/2017  24 NOV 2017 00:11  Y "/>
    <s v="EGM No. EGM Date Container No. Seal No. Error Message_x000a_R587241511  2017-11-15 0.0.0.0  TCLU9716714  410189  N.A. "/>
    <s v="ROSL Availed Amount(INR) Scroll Number Scroll Date_x000a_Y  3300  25863/2017  2017-11-20 0.0.0.0 "/>
    <s v="GSTIN    -    07AXXXXXXXXP3ZI_x000a_Invoice Number Invoice Date IGST Paid(INR)_x000a_XXXXXXXXXXXXXX-18  2017-11-01  10363 "/>
    <x v="173"/>
    <x v="2"/>
  </r>
  <r>
    <x v="0"/>
    <n v="9802291"/>
    <s v="2017/11/09"/>
    <s v="IEC CHA No. Job No. Job Date Port of Discharge Total Package Gross Weight (Kg) FOB(INR) Total Cess (INR) Drawback STR Total (DBK+STR) CIN NO. CIN DT. Reward Flag_x000a_0512057273  AABCR5347PCH001  7289922  09 NOV 2017 12:11  USHOU  114  2910  293944.92  0  4409  0  4409  N.A.  N.A.  Click here to view item wise reward details "/>
    <s v="Current Que LEO Date EP Copy Print Status DBK Scroll No Scroll Date EGM Integration Status_x000a_HIST  13 NOV 2017 00:11  Y  24432/2018  25 MAR 2018 00:03  Y "/>
    <s v="EGM No. EGM Date Container No. Seal No. Error Message_x000a_R897621811  2017-11-18 0.0.0.0  MRKU3131266  410718  N.A. "/>
    <s v="ROSL Availed Amount(INR) Scroll Number Scroll Date_x000a_N  0  ROSL NOT CLAIMED  ROSL NOT CLAIMED "/>
    <s v="GSTIN    -    06AXXXXXXXXN1ZW_x000a_Invoice Number Invoice Date IGST Paid(INR)_x000a_XXXXXXXXXXX057  2017-11-07  30668 "/>
    <x v="174"/>
    <x v="0"/>
  </r>
  <r>
    <x v="0"/>
    <n v="9852487"/>
    <s v="2017/11/13"/>
    <s v="IEC CHA No. Job No. Job Date Port of Discharge Total Package Gross Weight (Kg) FOB(INR) Total Cess (INR) Drawback STR Total (DBK+STR) CIN NO. CIN DT. Reward Flag_x000a_0504011057  AFBPM9459DCH001  7342938  13 NOV 2017 12:11  TJLBD  1514  21400  6950990.5  0  104265  0  104265  N.A.  N.A.  Click here to view item wise reward details "/>
    <s v="Current Que LEO Date EP Copy Print Status DBK Scroll No Scroll Date EGM Integration Status_x000a_HIST  15 NOV 2017 00:11  Y  22753/2017  24 NOV 2017 00:11  Y "/>
    <s v="EGM No. EGM Date Container No. Seal No. Error Message_x000a_T707501711  2017-11-17 0.0.0.0  GRMU4200324  410683  N.A. "/>
    <s v="ROSL Availed Amount(INR) Scroll Number Scroll Date_x000a_N  0  ROSL NOT CLAIMED  ROSL NOT CLAIMED "/>
    <s v="GSTIN    -    07AXXXXXXXXE1ZD_x000a_Invoice Number Invoice Date IGST Paid(INR)_x000a_XXXXXXXXXXX018  2017-11-04  521924 "/>
    <x v="175"/>
    <x v="0"/>
  </r>
  <r>
    <x v="0"/>
    <n v="9929860"/>
    <s v="2017/11/16"/>
    <s v="IEC CHA No. Job No. Job Date Port of Discharge Total Package Gross Weight (Kg) FOB(INR) Total Cess (INR) Drawback STR Total (DBK+STR) CIN NO. CIN DT. Reward Flag_x000a_5212012333  AAVCS2245KCH001  7425011  16 NOV 2017 12:11  AEJEA  86  1570  4408141.92  0  88163  0  88163  N.A.  N.A.  Click here to view item wise reward details "/>
    <s v="Current Que LEO Date EP Copy Print Status DBK Scroll No Scroll Date EGM Integration Status_x000a_HIST  17 NOV 2017 00:11  Y  22753/2017  24 NOV 2017 00:11  Y "/>
    <s v="EGM No. EGM Date Container No. Seal No. Error Message_x000a_R537902011  2017-11-20 0.0.0.0  FCIU8626623  411133  N.A. "/>
    <s v="ROSL Availed Amount(INR) Scroll Number Scroll Date_x000a_Y  70617  25870/2017  2017-11-30 0.0.0.0 "/>
    <s v="GSTIN    -    24AXXXXXXXXK1ZB_x000a_Invoice Number Invoice Date IGST Paid(INR)_x000a_XXXXXXXXXXXXXX-18  2017-11-15  86415 "/>
    <x v="176"/>
    <x v="2"/>
  </r>
  <r>
    <x v="0"/>
    <n v="9949379"/>
    <s v="2017/11/16"/>
    <s v="IEC CHA No. Job No. Job Date Port of Discharge Total Package Gross Weight (Kg) FOB(INR) Total Cess (INR) Drawback STR Total (DBK+STR) CIN NO. CIN DT. Reward Flag_x000a_0314004173  AEKPR9484FCH001  7445764  16 NOV 2017 12:11  KRBUS  8  12245  1535743.3  0  16893  0  16893  N.A.  N.A.  Click here to view item wise reward details "/>
    <s v="Current Que LEO Date EP Copy Print Status DBK Scroll No Scroll Date EGM Integration Status_x000a_HIST  18 NOV 2017 00:11  Y  22850/2017  30 NOV 2017 00:11  Y "/>
    <s v="EGM No. EGM Date Container No. Seal No. Error Message_x000a_R687342211  2017-11-22 0.0.0.0  DFSU6722642  411424  N.A. "/>
    <s v="ROSL Availed Amount(INR) Scroll Number Scroll Date_x000a_N  0  ROSL NOT CLAIMED  ROSL NOT CLAIMED "/>
    <s v="GSTIN    -    27AXXXXXXXXG1ZA_x000a_Invoice Number Invoice Date IGST Paid(INR)_x000a_XXXXXXXXXXX-18  2017-11-11  1193 "/>
    <x v="161"/>
    <x v="0"/>
  </r>
  <r>
    <x v="0"/>
    <n v="9962200"/>
    <s v="2017/11/17"/>
    <s v="IEC CHA No. Job No. Job Date Port of Discharge Total Package Gross Weight (Kg) FOB(INR) Total Cess (INR) Drawback STR Total (DBK+STR) CIN NO. CIN DT. Reward Flag_x000a_0588044440  AACCP0287DCH001  7459328  17 NOV 2017 12:11  CNTAO  1  150  31092.15  0  622  0  622  N.A.  N.A.  Click here to view item wise reward details "/>
    <s v="Current Que LEO Date EP Copy Print Status DBK Scroll No Scroll Date EGM Integration Status_x000a_HIST  25 NOV 2017 00:11  Y  23003/2017  12 DEC 2017 00:12  Y "/>
    <s v="EGM No. EGM Date Container No. Seal No. Error Message_x000a_R387640112  2017-12-1 0.0.0.0  BSIU2622058  4125002  N.A. "/>
    <s v="ROSL Availed Amount(INR) Scroll Number Scroll Date_x000a_N  0  ROSL NOT CLAIMED  ROSL NOT CLAIMED "/>
    <s v="GSTIN    -    06AXXXXXXXXF1ZQ_x000a_Invoice Number Invoice Date IGST Paid(INR)_x000a_XXXXXXXXX152  2017-11-09  8504 "/>
    <x v="2"/>
    <x v="0"/>
  </r>
  <r>
    <x v="0"/>
    <n v="9962305"/>
    <s v="2017/11/17"/>
    <s v="IEC CHA No. Job No. Job Date Port of Discharge Total Package Gross Weight (Kg) FOB(INR) Total Cess (INR) Drawback STR Total (DBK+STR) CIN NO. CIN DT. Reward Flag_x000a_0588044440  AACCP0287DCH001  7459451  17 NOV 2017 12:11  CNTAO  10  7278  1083421.48  0  21668  0  21668  N.A.  N.A.  Click here to view item wise reward details "/>
    <s v="Current Que LEO Date EP Copy Print Status DBK Scroll No Scroll Date EGM Integration Status_x000a_HIST  28 NOV 2017 00:11  Y  23003/2017  12 DEC 2017 00:12  Y "/>
    <s v="EGM No. EGM Date Container No. Seal No. Error Message_x000a_R387640112  2017-12-1 0.0.0.0  BSIU2622058  412502  N.A. "/>
    <s v="ROSL Availed Amount(INR) Scroll Number Scroll Date_x000a_N  0  ROSL NOT CLAIMED  ROSL NOT CLAIMED "/>
    <s v="GSTIN    -    06AXXXXXXXXF1ZQ_x000a_Invoice Number Invoice Date IGST Paid(INR)_x000a_XXXXXXXXX151  2017-11-09  296338 "/>
    <x v="2"/>
    <x v="0"/>
  </r>
  <r>
    <x v="0"/>
    <n v="1023575"/>
    <s v="2017/11/20"/>
    <s v="IEC CHA No. Job No. Job Date Port of Discharge Total Package Gross Weight (Kg) FOB(INR) Total Cess (INR) Drawback STR Total (DBK+STR) CIN NO. CIN DT. Reward Flag_x000a_0506012905  FHMPS1058ECH001  7523924  20 NOV 2017 12:11  MYPKG  30  25390  1221791.25  0  0  0  0  N.A.  N.A.  Click here to view item wise reward details "/>
    <s v="Current Que LEO Date EP Copy Print Status DBK Scroll No Scroll Date EGM Integration Status_x000a_HIST  22 NOV 2017 00:11  Y  N.A.  N.A.  Y "/>
    <s v="EGM No. EGM Date Container No. Seal No. Error Message_x000a_T847822511  2017-11-25 0.0.0.0  HJCU8397833  411554  N.A. "/>
    <s v="ROSL Availed Amount(INR) Scroll Number Scroll Date_x000a_NULL  NULL  NULL  NULL "/>
    <s v="GSTIN    -    07AXXXXXXXXP2Z7_x000a_Invoice Number Invoice Date IGST Paid(INR)_x000a_XXXXXXX003  2017-11-20  222797 "/>
    <x v="177"/>
    <x v="1"/>
  </r>
  <r>
    <x v="0"/>
    <n v="1031757"/>
    <s v="2017/11/21"/>
    <s v="IEC CHA No. Job No. Job Date Port of Discharge Total Package Gross Weight (Kg) FOB(INR) Total Cess (INR) Drawback STR Total (DBK+STR) CIN NO. CIN DT. Reward Flag_x000a_0507004761  AADCR9553KCH003  7532585  21 NOV 2017 12:11  KEMBA  3  1365  980400  0  19608  0  19608  N.A.  N.A.  Click here to view item wise reward details "/>
    <s v="Current Que LEO Date EP Copy Print Status DBK Scroll No Scroll Date EGM Integration Status_x000a_HIST  24 NOV 2017 00:11  Y  23003/2017  12 DEC 2017 00:12  Y "/>
    <s v="EGM No. EGM Date Container No. Seal No. Error Message_x000a_R437503011  2017-11-30 0.0.0.0  TCNU9920746  411975  N.A. "/>
    <s v="ROSL Availed Amount(INR) Scroll Number Scroll Date_x000a_N  0  ROSL NOT CLAIMED  ROSL NOT CLAIMED "/>
    <s v="GSTIN    -    09AXXXXXXXXM1ZH_x000a_Invoice Number Invoice Date IGST Paid(INR)_x000a_002  2017-11-20  176472 "/>
    <x v="178"/>
    <x v="0"/>
  </r>
  <r>
    <x v="0"/>
    <n v="1042281"/>
    <s v="2017/11/21"/>
    <s v="IEC CHA No. Job No. Job Date Port of Discharge Total Package Gross Weight (Kg) FOB(INR) Total Cess (INR) Drawback STR Total (DBK+STR) CIN NO. CIN DT. Reward Flag_x000a_0515015504  AHDPK8975CCH001  7543728  21 NOV 2017 12:11  SARUH  964  14303.76  5708637  0  114173  0  114173  N.A.  N.A.  Click here to view item wise reward details "/>
    <s v="Current Que LEO Date EP Copy Print Status DBK Scroll No Scroll Date EGM Integration Status_x000a_HIST  24 NOV 2017 00:11  Y  22915/2017  05 DEC 2017 00:12  Y "/>
    <s v="EGM No. EGM Date Container No. Seal No. Error Message_x000a_J167202811  2017-11-28 0.0.0.0  DFSU2200589  411827  N.A. "/>
    <s v="ROSL Availed Amount(INR) Scroll Number Scroll Date_x000a_N  0  ROSL NOT CLAIMED  ROSL NOT CLAIMED "/>
    <s v="GSTIN    -    07AXXXXXXXXQ2ZD_x000a_Invoice Number Invoice Date IGST Paid(INR)_x000a_01  2017-11-21  5678 "/>
    <x v="179"/>
    <x v="0"/>
  </r>
  <r>
    <x v="0"/>
    <n v="1046425"/>
    <s v="2017/11/21"/>
    <s v="IEC CHA No. Job No. Job Date Port of Discharge Total Package Gross Weight (Kg) FOB(INR) Total Cess (INR) Drawback STR Total (DBK+STR) CIN NO. CIN DT. Reward Flag_x000a_3091000621  AGVPS9920JCH001  7548095  21 NOV 2017 12:11  SARUH  142  5041  5898834.6  0  147226  0  147226  N.A.  N.A.  Click here to view item wise reward details "/>
    <s v="Current Que LEO Date EP Copy Print Status DBK Scroll No Scroll Date EGM Integration Status_x000a_HIST  23 NOV 2017 00:11  Y  22915/2017  05 DEC 2017 00:12  Y "/>
    <s v="EGM No. EGM Date Container No. Seal No. Error Message_x000a_R207722511  2017-11-25 0.0.0.0  MRSU3677223  411610  N.A. "/>
    <s v="ROSL Availed Amount(INR) Scroll Number Scroll Date_x000a_Y  68426  25875/2017  2017-12-10 0.0.0.0 "/>
    <s v="GSTIN    -    03AXXXXXXXXJ1Z2_x000a_Invoice Number Invoice Date IGST Paid(INR)_x000a_XXXXXXXXXX018  2017-11-16  295102 "/>
    <x v="180"/>
    <x v="2"/>
  </r>
  <r>
    <x v="0"/>
    <n v="1054151"/>
    <s v="2017/11/22"/>
    <s v="IEC CHA No. Job No. Job Date Port of Discharge Total Package Gross Weight (Kg) FOB(INR) Total Cess (INR) Drawback STR Total (DBK+STR) CIN NO. CIN DT. Reward Flag_x000a_0505000873  AOWPS6493KCH001  7556186  22 NOV 2017 12:11  THBKK  2  543.35  612417.83  0  11416  0  11416  N.A.  N.A.  Click here to view item wise reward details "/>
    <s v="Current Que LEO Date EP Copy Print Status DBK Scroll No Scroll Date EGM Integration Status_x000a_HIST  23 NOV 2017 00:11  Y  22850/2017  30 NOV 2017 00:11  Y "/>
    <s v="EGM No. EGM Date Container No. Seal No. Error Message_x000a_T847822511  2017-11-25 0.0.0.0  TCNU3363089  411483  N.A. "/>
    <s v="ROSL Availed Amount(INR) Scroll Number Scroll Date_x000a_N  0  ROSL NOT CLAIMED  ROSL NOT CLAIMED "/>
    <s v="GSTIN    -    07AXXXXXXXXB1ZS_x000a_Invoice Number Invoice Date IGST Paid(INR)_x000a_XXXXXXX017  2017-10-22  99523 "/>
    <x v="181"/>
    <x v="0"/>
  </r>
  <r>
    <x v="0"/>
    <n v="1062588"/>
    <s v="2017/11/22"/>
    <s v="IEC CHA No. Job No. Job Date Port of Discharge Total Package Gross Weight (Kg) FOB(INR) Total Cess (INR) Drawback STR Total (DBK+STR) CIN NO. CIN DT. Reward Flag_x000a_1414003447  AAACC6689ECH001  7565077  22 NOV 2017 12:11  CUHAV  20  120  541800  0  8127  0  8127  N.A.  N.A.  Click here to view item wise reward details "/>
    <s v="Current Que LEO Date EP Copy Print Status DBK Scroll No Scroll Date EGM Integration Status_x000a_HIST  30 NOV 2017 00:11  Y  23003/2017  12 DEC 2017 00:12  Y "/>
    <s v="EGM No. EGM Date Container No. Seal No. Error Message_x000a_T437060412  2017-12-4 0.0.0.0  KMTU7328622  412556  N.A. "/>
    <s v="ROSL Availed Amount(INR) Scroll Number Scroll Date_x000a_N  0  ROSL NOT CLAIMED  ROSL NOT CLAIMED "/>
    <s v="GSTIN    -    07AXXXXXXXXA1ZH_x000a_Invoice Number Invoice Date IGST Paid(INR)_x000a_XXXXXXXXXXXXXX365  2017-11-02  65520 "/>
    <x v="182"/>
    <x v="0"/>
  </r>
  <r>
    <x v="0"/>
    <n v="1064566"/>
    <s v="2017/11/22"/>
    <s v="IEC CHA No. Job No. Job Date Port of Discharge Total Package Gross Weight (Kg) FOB(INR) Total Cess (INR) Drawback STR Total (DBK+STR) CIN NO. CIN DT. Reward Flag_x000a_0500075158  ADXPJ1610RCH001  7567166  22 NOV 2017 12:11  USBOS  79  950  1855697.25  0  37114  0  37114  N.A.  N.A.  Click here to view item wise reward details "/>
    <s v="Current Que LEO Date EP Copy Print Status DBK Scroll No Scroll Date EGM Integration Status_x000a_HIST  25 NOV 2017 00:11  Y  22915/2017  05 DEC 2017 00:12  Y "/>
    <s v="EGM No. EGM Date Container No. Seal No. Error Message_x000a_TX187402911  2017-11-29 0.0.0.0  TRLU7427748  411957  N.A. "/>
    <s v="ROSL Availed Amount(INR) Scroll Number Scroll Date_x000a_Y  31547  25875/2017  2017-12-10 0.0.0.0 "/>
    <s v="GSTIN    -    07AXXXXXXXXP3ZI_x000a_Invoice Number Invoice Date IGST Paid(INR)_x000a_XXXXXXXXXXXXXX-18  2017-11-15  92061 "/>
    <x v="12"/>
    <x v="2"/>
  </r>
  <r>
    <x v="0"/>
    <n v="1071189"/>
    <s v="2017/11/22"/>
    <s v="IEC CHA No. Job No. Job Date Port of Discharge Total Package Gross Weight (Kg) FOB(INR) Total Cess (INR) Drawback STR Total (DBK+STR) CIN NO. CIN DT. Reward Flag_x000a_0509047491  AOWPS6493KCH001  7574201  22 NOV 2017 12:11  BDCGP  1000  9344.5  967500  0  14513  0  14513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NYKU4799912  411945  N.A. "/>
    <s v="ROSL Availed Amount(INR) Scroll Number Scroll Date_x000a_N  0  ROSL NOT CLAIMED  ROSL NOT CLAIMED "/>
    <s v="GSTIN    -    07AXXXXXXXXE1Z3_x000a_Invoice Number Invoice Date IGST Paid(INR)_x000a_XXXXXXXX-18  2017-11-14  187200 "/>
    <x v="183"/>
    <x v="0"/>
  </r>
  <r>
    <x v="0"/>
    <n v="1071710"/>
    <s v="2017/11/22"/>
    <s v="IEC CHA No. Job No. Job Date Port of Discharge Total Package Gross Weight (Kg) FOB(INR) Total Cess (INR) Drawback STR Total (DBK+STR) CIN NO. CIN DT. Reward Flag_x000a_3307004344  AAAFA8105CCH001  7574720  22 NOV 2017 12:11  LKCMB  5  54.75  73530  0  1471  0  1471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BMOU6253517  411954  N.A. "/>
    <s v="ROSL Availed Amount(INR) Scroll Number Scroll Date_x000a_N  0  ROSL NOT CLAIMED  ROSL NOT CLAIMED "/>
    <s v="GSTIN    -    06AXXXXXXXXG1ZC_x000a_Invoice Number Invoice Date IGST Paid(INR)_x000a_XXXXXXXXX/09  2017-11-22  13655 "/>
    <x v="184"/>
    <x v="0"/>
  </r>
  <r>
    <x v="0"/>
    <n v="1072758"/>
    <s v="2017/11/22"/>
    <s v="IEC CHA No. Job No. Job Date Port of Discharge Total Package Gross Weight (Kg) FOB(INR) Total Cess (INR) Drawback STR Total (DBK+STR) CIN NO. CIN DT. Reward Flag_x000a_0709012331  AACCN5026ECH007  7575851  22 NOV 2017 12:11  PACFZ  18  8427  4276460.94  0  85529  0  85529  N.A.  N.A.  Click here to view item wise reward details "/>
    <s v="Current Que LEO Date EP Copy Print Status DBK Scroll No Scroll Date EGM Integration Status_x000a_HIST  23 NOV 2017 00:11  Y  22850/2017  30 NOV 2017 00:11  Y "/>
    <s v="EGM No. EGM Date Container No. Seal No. Error Message_x000a_T967482311  2017-11-23 0.0.0.0  HASU1140092  003335  N.A. "/>
    <s v="ROSL Availed Amount(INR) Scroll Number Scroll Date_x000a_N  0  ROSL NOT CLAIMED  ROSL NOT CLAIMED "/>
    <s v="GSTIN    -    06AXXXXXXXXD1Z8_x000a_Invoice Number Invoice Date IGST Paid(INR)_x000a_XXXXXXXXXXXXXX038  2017-11-22  803179 "/>
    <x v="185"/>
    <x v="0"/>
  </r>
  <r>
    <x v="0"/>
    <n v="1073185"/>
    <s v="2017/11/22"/>
    <s v="IEC CHA No. Job No. Job Date Port of Discharge Total Package Gross Weight (Kg) FOB(INR) Total Cess (INR) Drawback STR Total (DBK+STR) CIN NO. CIN DT. Reward Flag_x000a_0598045783  FHMPS1058ECH001  7576325  22 NOV 2017 12:11  KEMBA  34  636  406995  0  0  0  0  N.A.  N.A.  Click here to view item wise reward details "/>
    <s v="Current Que LEO Date EP Copy Print Status DBK Scroll No Scroll Date EGM Integration Status_x000a_HIST  25 NOV 2017 00:11  Y  N.A.  N.A.  Y "/>
    <s v="EGM No. EGM Date Container No. Seal No. Error Message_x000a_T857541412  2017-12-14 0.0.0.0  CAIU3489047  413637  N.A. "/>
    <s v="ROSL Availed Amount(INR) Scroll Number Scroll Date_x000a_NULL  NULL  NULL  NULL "/>
    <s v="GSTIN    -    07AXXXXXXXXA1Z1_x000a_Invoice Number Invoice Date IGST Paid(INR)_x000a_XXXXXXXXXXXXXX-18  2017-11-16  46512 "/>
    <x v="186"/>
    <x v="1"/>
  </r>
  <r>
    <x v="0"/>
    <n v="1090894"/>
    <s v="2017/11/23"/>
    <s v="IEC CHA No. Job No. Job Date Port of Discharge Total Package Gross Weight (Kg) FOB(INR) Total Cess (INR) Drawback STR Total (DBK+STR) CIN NO. CIN DT. Reward Flag_x000a_0595059040  AAGCA1465QCH001  7595016  23 NOV 2017 12:11  THBKK  50  2690.27  736994.88  0  14250  0  14250  N.A.  N.A.  Click here to view item wise reward details "/>
    <s v="Current Que LEO Date EP Copy Print Status DBK Scroll No Scroll Date EGM Integration Status_x000a_HIST  28 NOV 2017 00:11  Y  24208/2018  09 MAR 2018 00:03  Y "/>
    <s v="EGM No. EGM Date Container No. Seal No. Error Message_x000a_J197640912  2017-12-9 0.0.0.0  NYKU3801471  413243  N.A. "/>
    <s v="ROSL Availed Amount(INR) Scroll Number Scroll Date_x000a_N  0  ROSL NOT CLAIMED  ROSL NOT CLAIMED "/>
    <s v="GSTIN    -    07AXXXXXXXXC1ZF_x000a_Invoice Number Invoice Date IGST Paid(INR)_x000a_X061  2017-11-22  2065 "/>
    <x v="2"/>
    <x v="0"/>
  </r>
  <r>
    <x v="0"/>
    <n v="1099071"/>
    <s v="2017/11/23"/>
    <s v="IEC CHA No. Job No. Job Date Port of Discharge Total Package Gross Weight (Kg) FOB(INR) Total Cess (INR) Drawback STR Total (DBK+STR) CIN NO. CIN DT. Reward Flag_x000a_0592023052  AACCP0287DCH001  7603656  23 NOV 2017 12:11  TRAMB  5  2530  429786.56  0  8596  0  8596  N.A.  N.A.  Click here to view item wise reward details "/>
    <s v="Current Que LEO Date EP Copy Print Status DBK Scroll No Scroll Date EGM Integration Status_x000a_HIST  25 NOV 2017 00:11  Y  22915/2017  05 DEC 2017 00:12  Y "/>
    <s v="EGM No. EGM Date Container No. Seal No. Error Message_x000a_R627362911  2017-11-29 0.0.0.0  TRLU6853517  411953  N.A. "/>
    <s v="ROSL Availed Amount(INR) Scroll Number Scroll Date_x000a_N  0  ROSL NOT CLAIMED  ROSL NOT CLAIMED "/>
    <s v="GSTIN    -    06AXXXXXXXXE4ZU_x000a_Invoice Number Invoice Date IGST Paid(INR)_x000a_XXXXXXXXXXXXXX-18  2017-11-20  77361 "/>
    <x v="187"/>
    <x v="0"/>
  </r>
  <r>
    <x v="0"/>
    <n v="1168946"/>
    <s v="2017/11/27"/>
    <s v="IEC CHA No. Job No. Job Date Port of Discharge Total Package Gross Weight (Kg) FOB(INR) Total Cess (INR) Drawback STR Total (DBK+STR) CIN NO. CIN DT. Reward Flag_x000a_0504011057  AFBPM9459DCH001  7677446  27 NOV 2017 12:11  UZSKD  1196  15600  5296337.45  0  65964  0  65964  N.A.  N.A.  Click here to view item wise reward details "/>
    <s v="Current Que LEO Date EP Copy Print Status DBK Scroll No Scroll Date EGM Integration Status_x000a_HIST  28 NOV 2017 00:11  Y  23003/2017  12 DEC 2017 00:12  Y "/>
    <s v="EGM No. EGM Date Container No. Seal No. Error Message_x000a_R557523011  2017-11-30 0.0.0.0  TCNU9933281  412225  N.A. "/>
    <s v="ROSL Availed Amount(INR) Scroll Number Scroll Date_x000a_N  0  ROSL NOT CLAIMED  ROSL NOT CLAIMED "/>
    <s v="GSTIN    -    07AXXXXXXXXE1ZD_x000a_Invoice Number Invoice Date IGST Paid(INR)_x000a_XXXXXXXXXXX018  2017-11-27  226947 "/>
    <x v="188"/>
    <x v="0"/>
  </r>
  <r>
    <x v="0"/>
    <n v="1181054"/>
    <s v="2017/11/28"/>
    <s v="IEC CHA No. Job No. Job Date Port of Discharge Total Package Gross Weight (Kg) FOB(INR) Total Cess (INR) Drawback STR Total (DBK+STR) CIN NO. CIN DT. Reward Flag_x000a_0589043838  AAEFH1939HCH001  7690243  28 NOV 2017 12:11  KEMBA  32  1450  797394.15  0  11926  0  11926  N.A.  N.A.  Click here to view item wise reward details "/>
    <s v="Current Que LEO Date EP Copy Print Status DBK Scroll No Scroll Date EGM Integration Status_x000a_HIST  30 NOV 2017 00:11  Y  24432/2018  25 MAR 2018 00:03  Y "/>
    <s v="EGM No. EGM Date Container No. Seal No. Error Message_x000a_R337800212  2017-12-2 0.0.0.0  FCIU8321732  412535  N.A. "/>
    <s v="ROSL Availed Amount(INR) Scroll Number Scroll Date_x000a_N  0  ROSL NOT CLAIMED  ROSL NOT CLAIMED "/>
    <s v="GSTIN    -    07AXXXXXXXXL1Z4_x000a_Invoice Number Invoice Date IGST Paid(INR)_x000a_XXXXXXXXXXXXX425  2017-11-17  98557 "/>
    <x v="189"/>
    <x v="0"/>
  </r>
  <r>
    <x v="0"/>
    <n v="1192194"/>
    <s v="2017/11/28"/>
    <s v="IEC CHA No. Job No. Job Date Port of Discharge Total Package Gross Weight (Kg) FOB(INR) Total Cess (INR) Drawback STR Total (DBK+STR) CIN NO. CIN DT. Reward Flag_x000a_0507051360  AAAFJ1721HCH058  7702003  28 NOV 2017 12:11  THBKK  2  300  386600.1  0  806  0  806  N.A.  N.A.  Click here to view item wise reward details "/>
    <s v="Current Que LEO Date EP Copy Print Status DBK Scroll No Scroll Date EGM Integration Status_x000a_HIST  29 NOV 2017 00:11  Y  24432/2018  25 MAR 2018 00:03  Y "/>
    <s v="EGM No. EGM Date Container No. Seal No. Error Message_x000a_R27220612  2017-12-6 0.0.0.0  ZCSU2713253  412560  N.A. "/>
    <s v="ROSL Availed Amount(INR) Scroll Number Scroll Date_x000a_N  0  ROSL NOT CLAIMED  ROSL NOT CLAIMED "/>
    <s v="GSTIN    -    06AXXXXXXXXR2ZO_x000a_Invoice Number Invoice Date IGST Paid(INR)_x000a_XXXXXXXXXXXXX792  2017-11-28  69994 "/>
    <x v="190"/>
    <x v="0"/>
  </r>
  <r>
    <x v="0"/>
    <n v="1197442"/>
    <s v="2017/11/28"/>
    <s v="IEC CHA No. Job No. Job Date Port of Discharge Total Package Gross Weight (Kg) FOB(INR) Total Cess (INR) Drawback STR Total (DBK+STR) CIN NO. CIN DT. Reward Flag_x000a_0592006832  AAACC6689ECH001  7707559  28 NOV 2017 12:11  SRPBM  43  994.5  454005.83  0  0  0  0  N.A.  N.A.  Click here to view item wise reward details "/>
    <s v="Current Que LEO Date EP Copy Print Status DBK Scroll No Scroll Date EGM Integration Status_x000a_HIST  01 DEC 2017 00:12  Y  N.A.  N.A.  Y "/>
    <s v="EGM No. EGM Date Container No. Seal No. Error Message_x000a_J197640912  2017-12-9 0.0.0.0  TCKU1680074  413213  N.A. "/>
    <s v="ROSL Availed Amount(INR) Scroll Number Scroll Date_x000a_NULL  NULL  NULL  NULL "/>
    <s v="GSTIN    -    07AXXXXXXXXN1ZH_x000a_Invoice Number Invoice Date IGST Paid(INR)_x000a_XXXXXXXXXXX-18  2017-11-15  42400 "/>
    <x v="191"/>
    <x v="1"/>
  </r>
  <r>
    <x v="0"/>
    <n v="1206147"/>
    <s v="2017/11/29"/>
    <s v="IEC CHA No. Job No. Job Date Port of Discharge Total Package Gross Weight (Kg) FOB(INR) Total Cess (INR) Drawback STR Total (DBK+STR) CIN NO. CIN DT. Reward Flag_x000a_0510019439  AACCP0287DCH001  7716769  29 NOV 2017 12:11  USCLE  720  18150  232200  0  0  0  0  N.A.  N.A.  Click here to view item wise reward details "/>
    <s v="Current Que LEO Date EP Copy Print Status DBK Scroll No Scroll Date EGM Integration Status_x000a_HIST  04 DEC 2017 00:12  Y  N.A.  N.A.  Y "/>
    <s v="EGM No. EGM Date Container No. Seal No. Error Message_x000a_J167401312  2017-12-13 0.0.0.0  HLBU1738246  413562  N.A. "/>
    <s v="ROSL Availed Amount(INR) Scroll Number Scroll Date_x000a_NULL  NULL  NULL  NULL "/>
    <s v="GSTIN    -    06AXXXXXXXXE1ZC_x000a_Invoice Number Invoice Date IGST Paid(INR)_x000a_XXXXXXXXXXXXXO/1  2017-11-15  41472 "/>
    <x v="192"/>
    <x v="1"/>
  </r>
  <r>
    <x v="0"/>
    <n v="1220745"/>
    <s v="2017/11/29"/>
    <s v="IEC CHA No. Job No. Job Date Port of Discharge Total Package Gross Weight (Kg) FOB(INR) Total Cess (INR) Drawback STR Total (DBK+STR) CIN NO. CIN DT. Reward Flag_x000a_0515933520  AAFCS0723ACH002  7732118  29 NOV 2017 12:11  TZDAR  17  639.71  218143.52  0  3200  0  3200  N.A.  N.A.  Click here to view item wise reward details "/>
    <s v="Current Que LEO Date EP Copy Print Status DBK Scroll No Scroll Date EGM Integration Status_x000a_HIST  04 DEC 2017 00:12  Y  23143/2017  22 DEC 2017 00:12  Y "/>
    <s v="EGM No. EGM Date Container No. Seal No. Error Message_x000a_J287881012  2017-12-10 0.0.0.0  GLDU7366712  413279  N.A. "/>
    <s v="ROSL Availed Amount(INR) Scroll Number Scroll Date_x000a_N  0  ROSL NOT CLAIMED  ROSL NOT CLAIMED "/>
    <s v="GSTIN    -    06AXXXXXXXXN1ZN_x000a_Invoice Number Invoice Date IGST Paid(INR)_x000a_010  2017-11-28  39231 "/>
    <x v="193"/>
    <x v="0"/>
  </r>
  <r>
    <x v="0"/>
    <n v="1223298"/>
    <s v="2017/11/29"/>
    <s v="IEC CHA No. Job No. Job Date Port of Discharge Total Package Gross Weight (Kg) FOB(INR) Total Cess (INR) Drawback STR Total (DBK+STR) CIN NO. CIN DT. Reward Flag_x000a_0514078901  AABCT9850BCH003  7734839  29 NOV 2017 12:11  LKCMB  1  1102  1352758.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s v="GSTIN    -    06AXXXXXXXXP1ZP_x000a_Invoice Number Invoice Date IGST Paid(INR)_x000a_XXXXXXXXXXXXXX134  2017-11-15  243493 "/>
    <x v="2"/>
    <x v="1"/>
  </r>
  <r>
    <x v="0"/>
    <n v="1223301"/>
    <s v="2017/11/29"/>
    <s v="IEC CHA No. Job No. Job Date Port of Discharge Total Package Gross Weight (Kg) FOB(INR) Total Cess (INR) Drawback STR Total (DBK+STR) CIN NO. CIN DT. Reward Flag_x000a_0514078901  AABCT9850BCH003  7734853  29 NOV 2017 12:11  LKCMB  2  1032  202207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s v="GSTIN    -    06AXXXXXXXXP1ZP_x000a_Invoice Number Invoice Date IGST Paid(INR)_x000a_XXXXXXXXXXXXXX133  2017-11-24  363971 "/>
    <x v="2"/>
    <x v="1"/>
  </r>
  <r>
    <x v="0"/>
    <n v="1223387"/>
    <s v="2017/11/29"/>
    <s v="IEC CHA No. Job No. Job Date Port of Discharge Total Package Gross Weight (Kg) FOB(INR) Total Cess (INR) Drawback STR Total (DBK+STR) CIN NO. CIN DT. Reward Flag_x000a_0511068212  AHDPK8975CCH001  7734955  29 NOV 2017 12:11  BDCGP  400  4000  603075  0  905  0  905  N.A.  N.A.  Click here to view item wise reward details "/>
    <s v="Current Que LEO Date EP Copy Print Status DBK Scroll No Scroll Date EGM Integration Status_x000a_HIST  06 DEC 2017 00:12  Y  23043/2017  15 DEC 2017 00:12  Y "/>
    <s v="EGM No. EGM Date Container No. Seal No. Error Message_x000a_R1237121212  2017-12-12 0.0.0.0  MXCU0013026  413549  N.A. "/>
    <s v="ROSL Availed Amount(INR) Scroll Number Scroll Date_x000a_N  0  ROSL NOT CLAIMED  ROSL NOT CLAIMED "/>
    <s v="GSTIN    -    07AXXXXXXXXH1ZW_x000a_Invoice Number Invoice Date IGST Paid(INR)_x000a_XXXXXXE03  2017-11-28  112320 "/>
    <x v="194"/>
    <x v="0"/>
  </r>
  <r>
    <x v="0"/>
    <n v="1235474"/>
    <s v="2017/11/30"/>
    <s v="IEC CHA No. Job No. Job Date Port of Discharge Total Package Gross Weight (Kg) FOB(INR) Total Cess (INR) Drawback STR Total (DBK+STR) CIN NO. CIN DT. Reward Flag_x000a_3393002155  AAACU5306LCH002  7747640  30 NOV 2017 12:11  USNYC  1  267.6  191565  0  1164  0  1164  N.A.  N.A.  Click here to view item wise reward details "/>
    <s v="Current Que LEO Date EP Copy Print Status DBK Scroll No Scroll Date EGM Integration Status_x000a_HIST  04 DEC 2017 00:12  Y  23043/2017  15 DEC 2017 00:12  Y "/>
    <s v="EGM No. EGM Date Container No. Seal No. Error Message_x000a_J277400712  2017-12-7 0.0.0.0  CAIU9937278  412596  N.A. "/>
    <s v="ROSL Availed Amount(INR) Scroll Number Scroll Date_x000a_N  0  ROSL NOT CLAIMED  ROSL NOT CLAIMED "/>
    <s v="GSTIN    -    06AXXXXXXXXC2Z2_x000a_Invoice Number Invoice Date IGST Paid(INR)_x000a_XXXXX025  2017-11-16  34481700 "/>
    <x v="195"/>
    <x v="0"/>
  </r>
  <r>
    <x v="0"/>
    <n v="1247813"/>
    <s v="2017/11/30"/>
    <s v="IEC CHA No. Job No. Job Date Port of Discharge Total Package Gross Weight (Kg) FOB(INR) Total Cess (INR) Drawback STR Total (DBK+STR) CIN NO. CIN DT. Reward Flag_x000a_3003005391  AAJFT3321JCH001  7760698  30 NOV 2017 12:11  LKCMB  301  6597.4  1783360.5  0  15199  0  15199  N.A.  N.A.  Click here to view item wise reward details "/>
    <s v="Current Que LEO Date EP Copy Print Status DBK Scroll No Scroll Date EGM Integration Status_x000a_HIST  01 DEC 2017 00:12  Y  23003/2017  12 DEC 2017 00:12  Y "/>
    <s v="EGM No. EGM Date Container No. Seal No. Error Message_x000a_R1237200512  2017-12-5 0.0.0.0  DFSU2225340  412619  N.A. "/>
    <s v="ROSL Availed Amount(INR) Scroll Number Scroll Date_x000a_N  0  ROSL NOT CLAIMED  ROSL NOT CLAIMED "/>
    <s v="GSTIN    -    02AXXXXXXXXR2Z6_x000a_Invoice Number Invoice Date IGST Paid(INR)_x000a_XXXXXXXXXXXXXX25/  2017-11-29  1841 "/>
    <x v="196"/>
    <x v="0"/>
  </r>
  <r>
    <x v="0"/>
    <n v="1249499"/>
    <s v="2017/11/30"/>
    <s v="IEC CHA No. Job No. Job Date Port of Discharge Total Package Gross Weight (Kg) FOB(INR) Total Cess (INR) Drawback STR Total (DBK+STR) CIN NO. CIN DT. Reward Flag_x000a_0500075158  ADXPJ1610RCH001  7762461  30 NOV 2017 12:11  USBOS  19  215  219493.5  0  3781  0  3781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512  25875/2017  2017-12-10 0.0.0.0 "/>
    <s v="GSTIN    -    07AXXXXXXXXP3ZI_x000a_Invoice Number Invoice Date IGST Paid(INR)_x000a_XXXXXXXXXXXXXX-18  2017-11-19  10889 "/>
    <x v="195"/>
    <x v="2"/>
  </r>
  <r>
    <x v="0"/>
    <n v="1249514"/>
    <s v="2017/11/30"/>
    <s v="IEC CHA No. Job No. Job Date Port of Discharge Total Package Gross Weight (Kg) FOB(INR) Total Cess (INR) Drawback STR Total (DBK+STR) CIN NO. CIN DT. Reward Flag_x000a_0500075158  ADXPJ1610RCH001  7762485  30 NOV 2017 12:11  USBOS  12  158  209012.25  0  4180  0  4180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344  25875/2017  2017-12-10 0.0.0.0 "/>
    <s v="GSTIN    -    07AXXXXXXXXP3ZI_x000a_Invoice Number Invoice Date IGST Paid(INR)_x000a_XXXXXXXXXXXXXX-18  2017-11-28  10369 "/>
    <x v="195"/>
    <x v="2"/>
  </r>
  <r>
    <x v="0"/>
    <n v="1252402"/>
    <s v="2017/11/30"/>
    <s v="IEC CHA No. Job No. Job Date Port of Discharge Total Package Gross Weight (Kg) FOB(INR) Total Cess (INR) Drawback STR Total (DBK+STR) CIN NO. CIN DT. Reward Flag_x000a_0509003061  AADCR9553KCH003  7765508  30 NOV 2017 12:11  MXATM  1  395  401125.5  0  5780  0  5780  N.A.  N.A.  Click here to view item wise reward details "/>
    <s v="Current Que LEO Date EP Copy Print Status DBK Scroll No Scroll Date EGM Integration Status_x000a_HIST  05 DEC 2017 00:12  Y  23003/2017  12 DEC 2017 00:12  Y "/>
    <s v="EGM No. EGM Date Container No. Seal No. Error Message_x000a_T907240612  2017-12-6 0.0.0.0  HAMU1019978  001176  N.A. "/>
    <s v="ROSL Availed Amount(INR) Scroll Number Scroll Date_x000a_N  0  ROSL NOT CLAIMED  ROSL NOT CLAIMED "/>
    <s v="GSTIN    -    06AXXXXXXXXK1ZV_x000a_Invoice Number Invoice Date IGST Paid(INR)_x000a_XXXXXXXXXX216  2017-11-24  446822 "/>
    <x v="197"/>
    <x v="0"/>
  </r>
  <r>
    <x v="0"/>
    <n v="1254519"/>
    <s v="2017/11/30"/>
    <s v="IEC CHA No. Job No. Job Date Port of Discharge Total Package Gross Weight (Kg) FOB(INR) Total Cess (INR) Drawback STR Total (DBK+STR) CIN NO. CIN DT. Reward Flag_x000a_0509003061  AADCR9553KCH003  7767682  30 NOV 2017 12:11  MXATM  16  4560  7457793.15  0  66470  0  66470  N.A.  N.A.  Click here to view item wise reward details "/>
    <s v="Current Que LEO Date EP Copy Print Status DBK Scroll No Scroll Date EGM Integration Status_x000a_HIST  05 DEC 2017 00:12  Y  24432/2018  25 MAR 2018 00:03  Y "/>
    <s v="EGM No. EGM Date Container No. Seal No. Error Message_x000a_T907240612  2017-12-6 0.0.0.0  HAMU1019978  001176  N.A. "/>
    <s v="ROSL Availed Amount(INR) Scroll Number Scroll Date_x000a_N  0  ROSL NOT CLAIMED  ROSL NOT CLAIMED "/>
    <s v="GSTIN    -    06AXXXXXXXXK1ZV_x000a_Invoice Number Invoice Date IGST Paid(INR)_x000a_XXXXXXXXXX215  2017-11-24  1787288 "/>
    <x v="198"/>
    <x v="0"/>
  </r>
  <r>
    <x v="0"/>
    <n v="1254838"/>
    <s v="2017/11/30"/>
    <s v="IEC CHA No. Job No. Job Date Port of Discharge Total Package Gross Weight (Kg) FOB(INR) Total Cess (INR) Drawback STR Total (DBK+STR) CIN NO. CIN DT. Reward Flag_x000a_0512064172  AKMPA9089KCH001  7768027  30 NOV 2017 12:11  AEJEA  24  1000  1993836.32  0  41725  0  41725  N.A.  N.A.  Click here to view item wise reward details "/>
    <s v="Current Que LEO Date EP Copy Print Status DBK Scroll No Scroll Date EGM Integration Status_x000a_HIST  04 DEC 2017 00:12  Y  23003/2017  12 DEC 2017 00:12  Y "/>
    <s v="EGM No. EGM Date Container No. Seal No. Error Message_x000a_J277400712  2017-12-7 0.0.0.0  CAXU8229337  413201  N.A. "/>
    <s v="ROSL Availed Amount(INR) Scroll Number Scroll Date_x000a_Y  26390  25879/2017  2017-12-20 0.0.0.0 "/>
    <s v="GSTIN    -    07AXXXXXXXXK1Z2_x000a_Invoice Number Invoice Date IGST Paid(INR)_x000a_XXXXXXXXXX201  2017-11-25  108705 "/>
    <x v="199"/>
    <x v="2"/>
  </r>
  <r>
    <x v="0"/>
    <n v="1255601"/>
    <s v="2017/11/30"/>
    <s v="IEC CHA No. Job No. Job Date Port of Discharge Total Package Gross Weight (Kg) FOB(INR) Total Cess (INR) Drawback STR Total (DBK+STR) CIN NO. CIN DT. Reward Flag_x000a_0513021612  AEOPA9390KCH001  7768840  30 NOV 2017 12:11  MUPLU  64  1072  564385.32  0  11074  0  11074  N.A.  N.A.  Click here to view item wise reward details "/>
    <s v="Current Que LEO Date EP Copy Print Status DBK Scroll No Scroll Date EGM Integration Status_x000a_HIST  04 DEC 2017 00:12  Y  23003/2017  12 DEC 2017 00:12  Y "/>
    <s v="EGM No. EGM Date Container No. Seal No. Error Message_x000a_J197640912  2017-12-9 0.0.0.0  VSTU9000091  413278  N.A. "/>
    <s v="ROSL Availed Amount(INR) Scroll Number Scroll Date_x000a_N  0  ROSL NOT CLAIMED  ROSL NOT CLAIMED "/>
    <s v="GSTIN    -    07AXXXXXXXXF2ZV_x000a_Invoice Number Invoice Date IGST Paid(INR)_x000a_XXXXXXXXXXXXXXT36  2017-11-28  101578 "/>
    <x v="200"/>
    <x v="0"/>
  </r>
  <r>
    <x v="0"/>
    <n v="1269121"/>
    <s v="2017/12/01"/>
    <s v="IEC CHA No. Job No. Job Date Port of Discharge Total Package Gross Weight (Kg) FOB(INR) Total Cess (INR) Drawback STR Total (DBK+STR) CIN NO. CIN DT. Reward Flag_x000a_0516526065  AADCA0273BCH001  7783051  01 DEC 2017 12:12  USDAL  168  1974.3  335390.33  0  6334  0  6334  N.A.  N.A.  Click here to view item wise reward details "/>
    <s v="Current Que LEO Date EP Copy Print Status DBK Scroll No Scroll Date EGM Integration Status_x000a_HIST  04 DEC 2017 00:12  Y  23003/2017  12 DEC 2017 00:12  Y "/>
    <s v="EGM No. EGM Date Container No. Seal No. Error Message_x000a_R957620812  2017-12-8 0.0.0.0  MRKU8210434  413245  N.A. "/>
    <s v="ROSL Availed Amount(INR) Scroll Number Scroll Date_x000a_N  0  ROSL NOT CLAIMED  ROSL NOT CLAIMED "/>
    <s v="GSTIN    -    07DXXXXXXXXL1ZP_x000a_Invoice Number Invoice Date IGST Paid(INR)_x000a_XXXXXXXXXXXXXX-18  2017-11-29  64076 "/>
    <x v="201"/>
    <x v="0"/>
  </r>
  <r>
    <x v="0"/>
    <n v="1274037"/>
    <s v="2017/12/01"/>
    <s v="IEC CHA No. Job No. Job Date Port of Discharge Total Package Gross Weight (Kg) FOB(INR) Total Cess (INR) Drawback STR Total (DBK+STR) CIN NO. CIN DT. Reward Flag_x000a_0504077104  AASPK9028QCH001  7788226  01 DEC 2017 12:12  CHZRH  21  1385  312647.4  0  6878  0  6878  N.A.  N.A.  Click here to view item wise reward details "/>
    <s v="Current Que LEO Date EP Copy Print Status DBK Scroll No Scroll Date EGM Integration Status_x000a_HIST  07 DEC 2017 00:12  Y  23143/2017  22 DEC 2017 00:12  Y "/>
    <s v="EGM No. EGM Date Container No. Seal No. Error Message_x000a_J177821612  2017-12-16 0.0.0.0  TCNU9183314  414208  N.A. "/>
    <s v="ROSL Availed Amount(INR) Scroll Number Scroll Date_x000a_N  0  ROSL NOT CLAIMED  ROSL NOT CLAIMED "/>
    <s v="GSTIN    -    07AXXXXXXXXH1ZD_x000a_Invoice Number Invoice Date IGST Paid(INR)_x000a_XXXXXXXXXXXXX018  2017-11-27  38804 "/>
    <x v="202"/>
    <x v="0"/>
  </r>
  <r>
    <x v="0"/>
    <n v="1277877"/>
    <s v="2017/12/01"/>
    <s v="IEC CHA No. Job No. Job Date Port of Discharge Total Package Gross Weight (Kg) FOB(INR) Total Cess (INR) Drawback STR Total (DBK+STR) CIN NO. CIN DT. Reward Flag_x000a_0588062359  AEEPG2440LCH001  7792284  01 DEC 2017 12:12  CAMTR  6  65  124333.92  0  2487  0  2487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2114  25879/2017  2017-12-20 0.0.0.0 "/>
    <s v="GSTIN    -    06AXXXXXXXXM1Z2_x000a_Invoice Number Invoice Date IGST Paid(INR)_x000a_XXXXXXXXX8RG  2017-11-27  6216 "/>
    <x v="203"/>
    <x v="2"/>
  </r>
  <r>
    <x v="0"/>
    <n v="1277880"/>
    <s v="2017/12/01"/>
    <s v="IEC CHA No. Job No. Job Date Port of Discharge Total Package Gross Weight (Kg) FOB(INR) Total Cess (INR) Drawback STR Total (DBK+STR) CIN NO. CIN DT. Reward Flag_x000a_0588062359  AEEPG2440LCH001  7792296  01 DEC 2017 12:12  USNYC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s v="GSTIN    -    06AXXXXXXXXM1Z2_x000a_Invoice Number Invoice Date IGST Paid(INR)_x000a_XXXXXXXXX8RG  2017-11-18  2327 "/>
    <x v="203"/>
    <x v="2"/>
  </r>
  <r>
    <x v="0"/>
    <n v="1277951"/>
    <s v="2017/12/01"/>
    <s v="IEC CHA No. Job No. Job Date Port of Discharge Total Package Gross Weight (Kg) FOB(INR) Total Cess (INR) Drawback STR Total (DBK+STR) CIN NO. CIN DT. Reward Flag_x000a_0588062359  AEEPG2440LCH001  7792342  01 DEC 2017 12:12  CAMTR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s v="GSTIN    -    06AXXXXXXXXM1Z2_x000a_Invoice Number Invoice Date IGST Paid(INR)_x000a_XXXXXXXXX8RG  2017-11-18  2327 "/>
    <x v="203"/>
    <x v="2"/>
  </r>
  <r>
    <x v="0"/>
    <n v="1310855"/>
    <s v="2017/12/04"/>
    <s v="IEC CHA No. Job No. Job Date Port of Discharge Total Package Gross Weight (Kg) FOB(INR) Total Cess (INR) Drawback STR Total (DBK+STR) CIN NO. CIN DT. Reward Flag_x000a_0516954725  AVAPS6694RCH001  7826882  04 DEC 2017 12:12  OMSOH  20  670  492780  0  0  0  0  N.A.  N.A.  Click here to view item wise reward details "/>
    <s v="Current Que LEO Date EP Copy Print Status DBK Scroll No Scroll Date EGM Integration Status_x000a_HIST  06 DEC 2017 00:12  Y  N.A.  N.A.  Y "/>
    <s v="EGM No. EGM Date Container No. Seal No. Error Message_x000a_J287881012  2017-12-10 0.0.0.0  GESU5079213  413264  N.A. "/>
    <s v="ROSL Availed Amount(INR) Scroll Number Scroll Date_x000a_NULL  NULL  NULL  NULL "/>
    <s v="GSTIN    -    07AXXXXXXXXH1ZZ_x000a_Invoice Number Invoice Date IGST Paid(INR)_x000a_XXXXXXXX155  2017-11-10  86378 "/>
    <x v="204"/>
    <x v="1"/>
  </r>
  <r>
    <x v="0"/>
    <n v="1317115"/>
    <s v="2017/12/04"/>
    <s v="IEC CHA No. Job No. Job Date Port of Discharge Total Package Gross Weight (Kg) FOB(INR) Total Cess (INR) Drawback STR Total (DBK+STR) CIN NO. CIN DT. Reward Flag_x000a_0588062359  AEEPG2440LCH001  7833526  04 DEC 2017 12:12  USNYC  8  93  181320.3  0  3626  0  3626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3082  25879/2017  2017-12-20 0.0.0.0 "/>
    <s v="GSTIN    -    06AXXXXXXXXM1Z2_x000a_Invoice Number Invoice Date IGST Paid(INR)_x000a_XXXXXXXXX8RG  2017-11-28  9066 "/>
    <x v="203"/>
    <x v="2"/>
  </r>
  <r>
    <x v="0"/>
    <n v="1318155"/>
    <s v="2017/12/04"/>
    <s v="IEC CHA No. Job No. Job Date Port of Discharge Total Package Gross Weight (Kg) FOB(INR) Total Cess (INR) Drawback STR Total (DBK+STR) CIN NO. CIN DT. Reward Flag_x000a_0588062359  AEEPG2440LCH001  7834610  04 DEC 2017 12:12  USNYC  4  43  97770.75  0  882  0  882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3688  N.A. "/>
    <s v="ROSL Availed Amount(INR) Scroll Number Scroll Date_x000a_Y  1564  25879/2017  2017-12-20 0.0.0.0 "/>
    <s v="GSTIN    -    06AXXXXXXXXM1Z2_x000a_Invoice Number Invoice Date IGST Paid(INR)_x000a_XXXXXXXXX8RG  2017-11-29  4888 "/>
    <x v="203"/>
    <x v="2"/>
  </r>
  <r>
    <x v="0"/>
    <n v="1318294"/>
    <s v="2017/12/04"/>
    <s v="IEC CHA No. Job No. Job Date Port of Discharge Total Package Gross Weight (Kg) FOB(INR) Total Cess (INR) Drawback STR Total (DBK+STR) CIN NO. CIN DT. Reward Flag_x000a_2203003405  AABCS7195NCH001  7834787  04 DEC 2017 12:12  FRLEH  23  24570  2422086.05  0  48442  0  48442  N.A.  N.A.  Click here to view item wise reward details "/>
    <s v="Current Que LEO Date EP Copy Print Status DBK Scroll No Scroll Date EGM Integration Status_x000a_HIST  05 DEC 2017 00:12  Y  23003/2017  12 DEC 2017 00:12  Y "/>
    <s v="EGM No. EGM Date Container No. Seal No. Error Message_x000a_R577300612  2017-12-6 0.0.0.0  NYKU3913872  412767  N.A. "/>
    <s v="ROSL Availed Amount(INR) Scroll Number Scroll Date_x000a_N  0  ROSL NOT CLAIMED  ROSL NOT CLAIMED "/>
    <s v="GSTIN    -    04AXXXXXXXXF1ZC_x000a_Invoice Number Invoice Date IGST Paid(INR)_x000a_05  2017-12-02  1022 "/>
    <x v="205"/>
    <x v="0"/>
  </r>
  <r>
    <x v="0"/>
    <n v="1323400"/>
    <s v="2017/12/04"/>
    <s v="IEC CHA No. Job No. Job Date Port of Discharge Total Package Gross Weight (Kg) FOB(INR) Total Cess (INR) Drawback STR Total (DBK+STR) CIN NO. CIN DT. Reward Flag_x000a_0505000873  AOWPS6493KCH001  7840211  04 DEC 2017 12:12  MYPKG  4  2825.3  773677.5  0  15474  0  15474  N.A.  N.A.  Click here to view item wise reward details "/>
    <s v="Current Que LEO Date EP Copy Print Status DBK Scroll No Scroll Date EGM Integration Status_x000a_HIST  06 DEC 2017 00:12  Y  23143/2017  22 DEC 2017 00:12  Y "/>
    <s v="EGM No. EGM Date Container No. Seal No. Error Message_x000a_R27741512  2017-12-15 0.0.0.0  TCNU5910694  413686  N.A. "/>
    <s v="ROSL Availed Amount(INR) Scroll Number Scroll Date_x000a_N  0  ROSL NOT CLAIMED  ROSL NOT CLAIMED "/>
    <s v="GSTIN    -    07AXXXXXXXXB1ZS_x000a_Invoice Number Invoice Date IGST Paid(INR)_x000a_XXXXXXX017  2017-11-20  65433 "/>
    <x v="206"/>
    <x v="0"/>
  </r>
  <r>
    <x v="0"/>
    <n v="1341857"/>
    <s v="2017/12/05"/>
    <s v="IEC CHA No. Job No. Job Date Port of Discharge Total Package Gross Weight (Kg) FOB(INR) Total Cess (INR) Drawback STR Total (DBK+STR) CIN NO. CIN DT. Reward Flag_x000a_3000004394  AAEPI0406QCH001  7859753  05 DEC 2017 12:12  GBFXT  52  784.09  1357362.75  0  27147  0  27147  N.A.  N.A.  Click here to view item wise reward details "/>
    <s v="Current Que LEO Date EP Copy Print Status DBK Scroll No Scroll Date EGM Integration Status_x000a_HIST  07 DEC 2017 00:12  Y  23003/2017  12 DEC 2017 00:12  Y "/>
    <s v="EGM No. EGM Date Container No. Seal No. Error Message_x000a_J197640912  2017-12-9 0.0.0.0  MRKU5656130  413256  N.A. "/>
    <s v="ROSL Availed Amount(INR) Scroll Number Scroll Date_x000a_Y  23075  28259/2018  2018-6-15 0.0.0.0 "/>
    <s v="GSTIN    -    03AXXXXXXXXK1Z0_x000a_Invoice Number Invoice Date IGST Paid(INR)_x000a_665  2017-11-28  67868 "/>
    <x v="207"/>
    <x v="2"/>
  </r>
  <r>
    <x v="0"/>
    <n v="1349436"/>
    <s v="2017/12/05"/>
    <s v="IEC CHA No. Job No. Job Date Port of Discharge Total Package Gross Weight (Kg) FOB(INR) Total Cess (INR) Drawback STR Total (DBK+STR) CIN NO. CIN DT. Reward Flag_x000a_0504019392  AVAPS6694RCH001  7867709  05 DEC 2017 12:12  DEHAM  6  2589.96  920478.94  0  11231  0  11231  N.A.  N.A.  Click here to view item wise reward details "/>
    <s v="Current Que LEO Date EP Copy Print Status DBK Scroll No Scroll Date EGM Integration Status_x000a_HIST  07 DEC 2017 00:12  Y  23143/2017  22 DEC 2017 00:12  Y "/>
    <s v="EGM No. EGM Date Container No. Seal No. Error Message_x000a_R607421312  2017-12-13 0.0.0.0  BSIU2178771  413647  N.A. "/>
    <s v="ROSL Availed Amount(INR) Scroll Number Scroll Date_x000a_N  0  ROSL NOT CLAIMED  ROSL NOT CLAIMED "/>
    <s v="GSTIN    -    06AXXXXXXXXD1ZQ_x000a_Invoice Number Invoice Date IGST Paid(INR)_x000a_XXXXXXXXX056  2017-12-04  185491 "/>
    <x v="208"/>
    <x v="0"/>
  </r>
  <r>
    <x v="0"/>
    <n v="1349513"/>
    <s v="2017/12/05"/>
    <s v="IEC CHA No. Job No. Job Date Port of Discharge Total Package Gross Weight (Kg) FOB(INR) Total Cess (INR) Drawback STR Total (DBK+STR) CIN NO. CIN DT. Reward Flag_x000a_0501016481  AABCT4959MCH001  7867772  05 DEC 2017 12:12  MXZLO  34  930  392459.28  0  5237  0  5237  N.A.  N.A.  Click here to view item wise reward details "/>
    <s v="Current Que LEO Date EP Copy Print Status DBK Scroll No Scroll Date EGM Integration Status_x000a_HIST  13 DEC 2017 00:12  Y  23143/2017  22 DEC 2017 00:12  Y "/>
    <s v="EGM No. EGM Date Container No. Seal No. Error Message_x000a_R267901612  2017-12-16 0.0.0.0  TCLU9304152  414201  N.A. "/>
    <s v="ROSL Availed Amount(INR) Scroll Number Scroll Date_x000a_N  0  ROSL NOT CLAIMED  ROSL NOT CLAIMED "/>
    <s v="GSTIN    -    07AXXXXXXXXF1ZH_x000a_Invoice Number Invoice Date IGST Paid(INR)_x000a_XXXXXXXXXXXXXX7-1  2017-11-30  10297 "/>
    <x v="209"/>
    <x v="0"/>
  </r>
  <r>
    <x v="0"/>
    <n v="1350667"/>
    <s v="2017/12/05"/>
    <s v="IEC CHA No. Job No. Job Date Port of Discharge Total Package Gross Weight (Kg) FOB(INR) Total Cess (INR) Drawback STR Total (DBK+STR) CIN NO. CIN DT. Reward Flag_x000a_0588128180  AATPS3087NCH001  7869014  05 DEC 2017 12:12  ZADUR  596  14834  1666744.5  0  22967  0  22967  N.A.  N.A.  Click here to view item wise reward details "/>
    <s v="Current Que LEO Date EP Copy Print Status DBK Scroll No Scroll Date EGM Integration Status_x000a_HIST  07 DEC 2017 00:12  Y  23043/2017  15 DEC 2017 00:12  Y "/>
    <s v="EGM No. EGM Date Container No. Seal No. Error Message_x000a_T1007221212  2017-12-12 0.0.0.0  CRXU1571954  413346  N.A. "/>
    <s v="ROSL Availed Amount(INR) Scroll Number Scroll Date_x000a_N  0  ROSL NOT CLAIMED  ROSL NOT CLAIMED "/>
    <s v="GSTIN    -    07AXXXXXXXXJ1Z1_x000a_Invoice Number Invoice Date IGST Paid(INR)_x000a_XXXXXXXX/17  2017-12-01  12744 "/>
    <x v="210"/>
    <x v="0"/>
  </r>
  <r>
    <x v="0"/>
    <n v="1364053"/>
    <s v="2017/12/06"/>
    <s v="IEC CHA No. Job No. Job Date Port of Discharge Total Package Gross Weight (Kg) FOB(INR) Total Cess (INR) Drawback STR Total (DBK+STR) CIN NO. CIN DT. Reward Flag_x000a_0504077171  AKOPK7974PCH001  7883107  06 DEC 2017 12:12  LKCMB  2100  105210  2719320  0  0  0  0  N.A.  N.A.  Click here to view item wise reward details "/>
    <s v="Current Que LEO Date EP Copy Print Status DBK Scroll No Scroll Date EGM Integration Status_x000a_HIST  08 DEC 2017 00:12  Y  N.A.  N.A.  Y "/>
    <s v="EGM No. EGM Date Container No. Seal No. Error Message_x000a_TX187580812  2017-12-8 0.0.0.0  TGHU3089350  004585  N.A. "/>
    <s v="ROSL Availed Amount(INR) Scroll Number Scroll Date_x000a_NULL  NULL  NULL  NULL "/>
    <s v="GSTIN    -    06AXXXXXXXXB1ZF_x000a_Invoice Number Invoice Date IGST Paid(INR)_x000a_108  2017-12-05  4158 "/>
    <x v="211"/>
    <x v="1"/>
  </r>
  <r>
    <x v="0"/>
    <n v="1367821"/>
    <s v="2017/12/06"/>
    <s v="IEC CHA No. Job No. Job Date Port of Discharge Total Package Gross Weight (Kg) FOB(INR) Total Cess (INR) Drawback STR Total (DBK+STR) CIN NO. CIN DT. Reward Flag_x000a_0514067969  ADXPJ1610RCH001  7887075  06 DEC 2017 12:12  USNYC  116  2552  1638558  0  2458  0  2458  N.A.  N.A.  Click here to view item wise reward details "/>
    <s v="Current Que LEO Date EP Copy Print Status DBK Scroll No Scroll Date EGM Integration Status_x000a_HIST  08 DEC 2017 00:12  Y  23237/2017  29 DEC 2017 00:12  Y "/>
    <s v="EGM No. EGM Date Container No. Seal No. Error Message_x000a_R27402112  2017-12-21 0.0.0.0  BSIU2864848  414270  N.A. "/>
    <s v="ROSL Availed Amount(INR) Scroll Number Scroll Date_x000a_N  0  ROSL NOT CLAIMED  ROSL NOT CLAIMED "/>
    <s v="GSTIN    -    09AXXXXXXXXA1Z1_x000a_Invoice Number Invoice Date IGST Paid(INR)_x000a_XXXXX8/B  2017-11-30  274456 "/>
    <x v="212"/>
    <x v="0"/>
  </r>
  <r>
    <x v="0"/>
    <n v="1381867"/>
    <s v="2017/12/06"/>
    <s v="IEC CHA No. Job No. Job Date Port of Discharge Total Package Gross Weight (Kg) FOB(INR) Total Cess (INR) Drawback STR Total (DBK+STR) CIN NO. CIN DT. Reward Flag_x000a_0500050139  AACFL6638BCH001  7901913  06 DEC 2017 12:12  USSVQ  2698  16620  5315986.8  0  0  0  0  N.A.  N.A.  Click here to view item wise reward details "/>
    <s v="Current Que LEO Date EP Copy Print Status DBK Scroll No Scroll Date EGM Integration Status_x000a_HIST  07 DEC 2017 00:12  Y  N.A.  N.A.  Y "/>
    <s v="EGM No. EGM Date Container No. Seal No. Error Message_x000a_R397500812  2017-12-8 0.0.0.0  MSKU6199024  413024  N.A. "/>
    <s v="ROSL Availed Amount(INR) Scroll Number Scroll Date_x000a_NULL  NULL  NULL  NULL "/>
    <s v="GSTIN    -    07AXXXXXXXXF1ZU_x000a_Invoice Number Invoice Date IGST Paid(INR)_x000a_XXXXXXX067  2017-12-04  637916 "/>
    <x v="201"/>
    <x v="1"/>
  </r>
  <r>
    <x v="0"/>
    <n v="1386534"/>
    <s v="2017/12/07"/>
    <s v="IEC CHA No. Job No. Job Date Port of Discharge Total Package Gross Weight (Kg) FOB(INR) Total Cess (INR) Drawback STR Total (DBK+STR) CIN NO. CIN DT. Reward Flag_x000a_0504077171  AKOPK7974PCH001  7906837  07 DEC 2017 12:12  LKCMB  2100  105210  2177520  0  0  0  0  N.A.  N.A.  Click here to view item wise reward details "/>
    <s v="Current Que LEO Date EP Copy Print Status DBK Scroll No Scroll Date EGM Integration Status_x000a_HIST  08 DEC 2017 00:12  Y  N.A.  N.A.  Y "/>
    <s v="EGM No. EGM Date Container No. Seal No. Error Message_x000a_R367181212  2017-12-12 0.0.0.0  NYKU9856126  004590  N.A. "/>
    <s v="ROSL Availed Amount(INR) Scroll Number Scroll Date_x000a_NULL  NULL  NULL  NULL "/>
    <s v="GSTIN    -    06AXXXXXXXXB1ZF_x000a_Invoice Number Invoice Date IGST Paid(INR)_x000a_109  2017-12-06  4158 "/>
    <x v="213"/>
    <x v="1"/>
  </r>
  <r>
    <x v="0"/>
    <n v="1411047"/>
    <s v="2017/12/07"/>
    <s v="IEC CHA No. Job No. Job Date Port of Discharge Total Package Gross Weight (Kg) FOB(INR) Total Cess (INR) Drawback STR Total (DBK+STR) CIN NO. CIN DT. Reward Flag_x000a_0504077171  AKOPK7974PCH001  7932802  07 DEC 2017 12:12  LKCMB  2100  105210  2177520  0  0  0  0  N.A.  N.A.  Click here to view item wise reward details "/>
    <s v="Current Que LEO Date EP Copy Print Status DBK Scroll No Scroll Date EGM Integration Status_x000a_HIST  11 DEC 2017 00:12  Y  N.A.  N.A.  Y "/>
    <s v="EGM No. EGM Date Container No. Seal No. Error Message_x000a_R367181212  2017-12-12 0.0.0.0  DFSU2493229  004598  N.A. "/>
    <s v="ROSL Availed Amount(INR) Scroll Number Scroll Date_x000a_NULL  NULL  NULL  NULL "/>
    <s v="GSTIN    -    06AXXXXXXXXB1ZF_x000a_Invoice Number Invoice Date IGST Paid(INR)_x000a_110  2017-12-07  4158 "/>
    <x v="213"/>
    <x v="1"/>
  </r>
  <r>
    <x v="0"/>
    <n v="1466520"/>
    <s v="2017/12/11"/>
    <s v="IEC CHA No. Job No. Job Date Port of Discharge Total Package Gross Weight (Kg) FOB(INR) Total Cess (INR) Drawback STR Total (DBK+STR) CIN NO. CIN DT. Reward Flag_x000a_0501016481  AABCT4959MCH001  7991212  11 DEC 2017 12:12  ESBCN  29  505  918586.89  0  1744  0  1744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DFSU6923539  414871  N.A. "/>
    <s v="ROSL Availed Amount(INR) Scroll Number Scroll Date_x000a_N  0  ROSL NOT CLAIMED  ROSL NOT CLAIMED "/>
    <s v="GSTIN    -    07AXXXXXXXXF1ZH_x000a_Invoice Number Invoice Date IGST Paid(INR)_x000a_XXXXXXXXXXXXXX7-1  2017-11-28  20224 "/>
    <x v="214"/>
    <x v="0"/>
  </r>
  <r>
    <x v="0"/>
    <n v="1468626"/>
    <s v="2017/12/11"/>
    <s v="IEC CHA No. Job No. Job Date Port of Discharge Total Package Gross Weight (Kg) FOB(INR) Total Cess (INR) Drawback STR Total (DBK+STR) CIN NO. CIN DT. Reward Flag_x000a_0514025026  ARPPK3328RCH001  7993460  11 DEC 2017 12:12  BDCGP  10  344  63700  0  1274  0  1274  N.A.  N.A.  Click here to view item wise reward details "/>
    <s v="Current Que LEO Date EP Copy Print Status DBK Scroll No Scroll Date EGM Integration Status_x000a_HIST  13 DEC 2017 00:12  Y  23237/2017  29 DEC 2017 00:12  Y "/>
    <s v="EGM No. EGM Date Container No. Seal No. Error Message_x000a_T587862312  2017-12-23 0.0.0.0  HDMU6838625  414844  N.A. "/>
    <s v="ROSL Availed Amount(INR) Scroll Number Scroll Date_x000a_N  0  ROSL NOT CLAIMED  ROSL NOT CLAIMED "/>
    <s v="GSTIN    -    07AXXXXXXXXF1ZR_x000a_Invoice Number Invoice Date IGST Paid(INR)_x000a_XXXXXXXXXXXX153  2017-12-08  11466 "/>
    <x v="215"/>
    <x v="0"/>
  </r>
  <r>
    <x v="0"/>
    <n v="1469621"/>
    <s v="2017/12/11"/>
    <s v="IEC CHA No. Job No. Job Date Port of Discharge Total Package Gross Weight (Kg) FOB(INR) Total Cess (INR) Drawback STR Total (DBK+STR) CIN NO. CIN DT. Reward Flag_x000a_0598059113  AASPK9028QCH001  7994500  11 DEC 2017 12:12  AEJEA  845  10250  1384583.2  0  27692  0  27692  N.A.  N.A.  Click here to view item wise reward details "/>
    <s v="Current Que LEO Date EP Copy Print Status DBK Scroll No Scroll Date EGM Integration Status_x000a_HIST  15 DEC 2017 00:12  Y  23143/2017  22 DEC 2017 00:12  Y "/>
    <s v="EGM No. EGM Date Container No. Seal No. Error Message_x000a_T437141912  2017-12-19 0.0.0.0  HDMU2556351  414180  N.A. "/>
    <s v="ROSL Availed Amount(INR) Scroll Number Scroll Date_x000a_N  0  ROSL NOT CLAIMED  ROSL NOT CLAIMED "/>
    <s v="GSTIN    -    07AXXXXXXXXL1ZI_x000a_Invoice Number Invoice Date IGST Paid(INR)_x000a_XXXXXXXXXXXX/35  2017-12-11  166646 "/>
    <x v="216"/>
    <x v="0"/>
  </r>
  <r>
    <x v="0"/>
    <n v="1471253"/>
    <s v="2017/12/11"/>
    <s v="IEC CHA No. Job No. Job Date Port of Discharge Total Package Gross Weight (Kg) FOB(INR) Total Cess (INR) Drawback STR Total (DBK+STR) CIN NO. CIN DT. Reward Flag_x000a_0500050139  AACFL6638BCH001  7996260  11 DEC 2017 12:12  USSVQ  837  3013  1225222.36  0  0  0  0  N.A.  N.A.  Click here to view item wise reward details "/>
    <s v="Current Que LEO Date EP Copy Print Status DBK Scroll No Scroll Date EGM Integration Status_x000a_HIST  13 DEC 2017 00:12  Y  N.A.  N.A.  Y "/>
    <s v="EGM No. EGM Date Container No. Seal No. Error Message_x000a_R707601512  2017-12-15 0.0.0.0  MSKU2961609  413471  N.A. "/>
    <s v="ROSL Availed Amount(INR) Scroll Number Scroll Date_x000a_NULL  NULL  NULL  NULL "/>
    <s v="GSTIN    -    07AXXXXXXXXF1ZU_x000a_Invoice Number Invoice Date IGST Paid(INR)_x000a_XXXXXXX068  2017-12-04  147025 "/>
    <x v="217"/>
    <x v="1"/>
  </r>
  <r>
    <x v="0"/>
    <n v="1474614"/>
    <s v="2017/12/11"/>
    <s v="IEC CHA No. Job No. Job Date Port of Discharge Total Package Gross Weight (Kg) FOB(INR) Total Cess (INR) Drawback STR Total (DBK+STR) CIN NO. CIN DT. Reward Flag_x000a_0593033043  AACFT3186ACH001  7999808  11 DEC 2017 12:12  MUPLU  78  1541  372527.7  0  0  0  0  N.A.  N.A.  Click here to view item wise reward details "/>
    <s v="Current Que LEO Date EP Copy Print Status DBK Scroll No Scroll Date EGM Integration Status_x000a_HIST  15 DEC 2017 00:12  Y  N.A.  N.A.  Y "/>
    <s v="EGM No. EGM Date Container No. Seal No. Error Message_x000a_T1007642212  2017-12-22 0.0.0.0  TEMU2032450  414817  N.A. "/>
    <s v="ROSL Availed Amount(INR) Scroll Number Scroll Date_x000a_NULL  NULL  NULL  NULL "/>
    <s v="GSTIN    -    07AXXXXXXXXC1Z5_x000a_Invoice Number Invoice Date IGST Paid(INR)_x000a_XXXXXXX/17  2017-12-05  33903 "/>
    <x v="218"/>
    <x v="1"/>
  </r>
  <r>
    <x v="0"/>
    <n v="1486982"/>
    <s v="2017/12/12"/>
    <s v="IEC CHA No. Job No. Job Date Port of Discharge Total Package Gross Weight (Kg) FOB(INR) Total Cess (INR) Drawback STR Total (DBK+STR) CIN NO. CIN DT. Reward Flag_x000a_0504077171  AKOPK7974PCH001  8012908  12 DEC 2017 12:12  LKCMB  2100  105210  2685592  0  0  0  0  N.A.  N.A.  Click here to view item wise reward details "/>
    <s v="Current Que LEO Date EP Copy Print Status DBK Scroll No Scroll Date EGM Integration Status_x000a_HIST  14 DEC 2017 00:12  Y  N.A.  N.A.  Y "/>
    <s v="EGM No. EGM Date Container No. Seal No. Error Message_x000a_R1577902412  2017-12-24 0.0.0.0  CNSU2048548  004601  N.A. "/>
    <s v="ROSL Availed Amount(INR) Scroll Number Scroll Date_x000a_NULL  NULL  NULL  NULL "/>
    <s v="GSTIN    -    06AXXXXXXXXB1ZF_x000a_Invoice Number Invoice Date IGST Paid(INR)_x000a_111  2017-12-11  4158 "/>
    <x v="219"/>
    <x v="1"/>
  </r>
  <r>
    <x v="0"/>
    <n v="1487575"/>
    <s v="2017/12/12"/>
    <s v="IEC CHA No. Job No. Job Date Port of Discharge Total Package Gross Weight (Kg) FOB(INR) Total Cess (INR) Drawback STR Total (DBK+STR) CIN NO. CIN DT. Reward Flag_x000a_0595008844  ADFFS3281FCH001  8013530  12 DEC 2017 12:12  AEJEA  467  7322.56  1608475.96  0  24127  0  24127  N.A.  N.A.  Click here to view item wise reward details "/>
    <s v="Current Que LEO Date EP Copy Print Status DBK Scroll No Scroll Date EGM Integration Status_x000a_HIST  13 DEC 2017 00:12  Y  23835/2018  15 FEB 2018 00:02  Y "/>
    <s v="EGM No. EGM Date Container No. Seal No. Error Message_x000a_R817941712  2017-12-17 0.0.0.0  HJMU1409260  413957  N.A. "/>
    <s v="ROSL Availed Amount(INR) Scroll Number Scroll Date_x000a_N  0  ROSL NOT CLAIMED  ROSL NOT CLAIMED "/>
    <s v="GSTIN    -    06AXXXXXXXXE1ZT_x000a_Invoice Number Invoice Date IGST Paid(INR)_x000a_XXXXX-18  2017-12-11  298404 "/>
    <x v="220"/>
    <x v="0"/>
  </r>
  <r>
    <x v="0"/>
    <n v="1487979"/>
    <s v="2017/12/12"/>
    <s v="IEC CHA No. Job No. Job Date Port of Discharge Total Package Gross Weight (Kg) FOB(INR) Total Cess (INR) Drawback STR Total (DBK+STR) CIN NO. CIN DT. Reward Flag_x000a_0505075172  AACCP0287DCH001  8013940  12 DEC 2017 12:12  BDCGP  1  206  1039584  0  20792  0  20792  N.A.  N.A.  Click here to view item wise reward details "/>
    <s v="Current Que LEO Date EP Copy Print Status DBK Scroll No Scroll Date EGM Integration Status_x000a_HIST  19 DEC 2017 00:12  Y  23237/2017  29 DEC 2017 00:12  Y "/>
    <s v="EGM No. EGM Date Container No. Seal No. Error Message_x000a_T587862312  2017-12-23 0.0.0.0  HDMU6838625  414844  N.A. "/>
    <s v="ROSL Availed Amount(INR) Scroll Number Scroll Date_x000a_N  0  ROSL NOT CLAIMED  ROSL NOT CLAIMED "/>
    <s v="GSTIN    -    06AXXXXXXXXK1ZF_x000a_Invoice Number Invoice Date IGST Paid(INR)_x000a_XXXXXXXXXXX340  2017-12-07  189189 "/>
    <x v="215"/>
    <x v="0"/>
  </r>
  <r>
    <x v="0"/>
    <n v="1509191"/>
    <s v="2017/12/13"/>
    <s v="IEC CHA No. Job No. Job Date Port of Discharge Total Package Gross Weight (Kg) FOB(INR) Total Cess (INR) Drawback STR Total (DBK+STR) CIN NO. CIN DT. Reward Flag_x000a_0515934062  FHMPS1058ECH001  8036399  13 DEC 2017 12:12  FRLEH  281  5718  4318672.85  0  64483  0  64483  N.A.  N.A.  Click here to view item wise reward details "/>
    <s v="Current Que LEO Date EP Copy Print Status DBK Scroll No Scroll Date EGM Integration Status_x000a_HIST  15 DEC 2017 00:12  Y  24082/2018  28 FEB 2018 00:02  Y "/>
    <s v="EGM No. EGM Date Container No. Seal No. Error Message_x000a_TX227101812  2017-12-18 0.0.0.0  CRSU1134340  414192  N.A. "/>
    <s v="ROSL Availed Amount(INR) Scroll Number Scroll Date_x000a_N  0  ROSL NOT CLAIMED  ROSL NOT CLAIMED "/>
    <s v="GSTIN    -    07AXXXXXXXXM1ZF_x000a_Invoice Number Invoice Date IGST Paid(INR)_x000a_XXXXXXX-18  2017-12-07  3906 "/>
    <x v="12"/>
    <x v="0"/>
  </r>
  <r>
    <x v="0"/>
    <n v="1512374"/>
    <s v="2017/12/13"/>
    <s v="IEC CHA No. Job No. Job Date Port of Discharge Total Package Gross Weight (Kg) FOB(INR) Total Cess (INR) Drawback STR Total (DBK+STR) CIN NO. CIN DT. Reward Flag_x000a_0508028078  AAECB3928MCH001  8039774  13 DEC 2017 12:12  FRFOS  5  880  574997.7  0  11500  0  11500  N.A.  N.A.  Click here to view item wise reward details "/>
    <s v="Current Que LEO Date EP Copy Print Status DBK Scroll No Scroll Date EGM Integration Status_x000a_HIST  14 DEC 2017 00:12  Y  23143/2017  22 DEC 2017 00:12  Y "/>
    <s v="EGM No. EGM Date Container No. Seal No. Error Message_x000a_R637981712  2017-12-17 0.0.0.0  SLSU6170854  414243  N.A. "/>
    <s v="ROSL Availed Amount(INR) Scroll Number Scroll Date_x000a_N  0  ROSL NOT CLAIMED  ROSL NOT CLAIMED "/>
    <s v="GSTIN    -    06AXXXXXXXXD1Z2_x000a_Invoice Number Invoice Date IGST Paid(INR)_x000a_XXXXXXXXXX933  2017-12-07  160999 "/>
    <x v="214"/>
    <x v="0"/>
  </r>
  <r>
    <x v="0"/>
    <n v="1521533"/>
    <s v="2017/12/13"/>
    <s v="IEC CHA No. Job No. Job Date Port of Discharge Total Package Gross Weight (Kg) FOB(INR) Total Cess (INR) Drawback STR Total (DBK+STR) CIN NO. CIN DT. Reward Flag_x000a_0504011057  AFBPM9459DCH001  8049444  13 DEC 2017 12:12  TJDYU  1410  20200  4751183.62  0  71268  0  71268  N.A.  N.A.  Click here to view item wise reward details "/>
    <s v="Current Que LEO Date EP Copy Print Status DBK Scroll No Scroll Date EGM Integration Status_x000a_HIST  15 DEC 2017 00:12  Y  23143/2017  22 DEC 2017 00:12  Y "/>
    <s v="EGM No. EGM Date Container No. Seal No. Error Message_x000a_TX227101812  2017-12-18 0.0.0.0  GRMU4200556  414416  N.A. "/>
    <s v="ROSL Availed Amount(INR) Scroll Number Scroll Date_x000a_N  0  ROSL NOT CLAIMED  ROSL NOT CLAIMED "/>
    <s v="GSTIN    -    07AXXXXXXXXE1ZD_x000a_Invoice Number Invoice Date IGST Paid(INR)_x000a_XXXXXXXXXXX018  2017-12-05  118001 "/>
    <x v="221"/>
    <x v="0"/>
  </r>
  <r>
    <x v="0"/>
    <n v="1523411"/>
    <s v="2017/12/13"/>
    <s v="IEC CHA No. Job No. Job Date Port of Discharge Total Package Gross Weight (Kg) FOB(INR) Total Cess (INR) Drawback STR Total (DBK+STR) CIN NO. CIN DT. Reward Flag_x000a_1306014115  AAAFA8105CCH001  8051412  13 DEC 2017 12:12  GNCKY  1528  16576  3502863  0  70057  0  70057  N.A.  N.A.  Click here to view item wise reward details "/>
    <s v="Current Que LEO Date EP Copy Print Status DBK Scroll No Scroll Date EGM Integration Status_x000a_HIST  16 DEC 2017 00:12  Y  23143/2017  22 DEC 2017 00:12  Y "/>
    <s v="EGM No. EGM Date Container No. Seal No. Error Message_x000a_R817941712  2017-12-17 0.0.0.0  MRKU8243150  000244  N.A. "/>
    <s v="ROSL Availed Amount(INR) Scroll Number Scroll Date_x000a_N  0  ROSL NOT CLAIMED  ROSL NOT CLAIMED "/>
    <s v="GSTIN    -    08AXXXXXXXXA1ZW_x000a_Invoice Number Invoice Date IGST Paid(INR)_x000a_XXXXXXXXXXX-18  2017-12-12  3220 "/>
    <x v="34"/>
    <x v="0"/>
  </r>
  <r>
    <x v="0"/>
    <n v="1546285"/>
    <s v="2017/12/14"/>
    <s v="IEC CHA No. Job No. Job Date Port of Discharge Total Package Gross Weight (Kg) FOB(INR) Total Cess (INR) Drawback STR Total (DBK+STR) CIN NO. CIN DT. Reward Flag_x000a_3104003254  AAACA3307KCH003  8075620  14 DEC 2017 12:12  USSTL  1  190  195653  0  3913  0  3913  N.A.  N.A.  Click here to view item wise reward details "/>
    <s v="Current Que LEO Date EP Copy Print Status DBK Scroll No Scroll Date EGM Integration Status_x000a_HIST  19 DEC 2017 00:12  Y  23237/2017  29 DEC 2017 00:12  Y "/>
    <s v="EGM No. EGM Date Container No. Seal No. Error Message_x000a_T1007642212  2017-12-22 0.0.0.0  DRYU9457048  414824  N.A. "/>
    <s v="ROSL Availed Amount(INR) Scroll Number Scroll Date_x000a_N  0  ROSL NOT CLAIMED  ROSL NOT CLAIMED "/>
    <s v="GSTIN    -    27AXXXXXXXXR1ZF_x000a_Invoice Number Invoice Date IGST Paid(INR)_x000a_XXXXXXXXXXXXXX718  2017-12-06  8950 "/>
    <x v="192"/>
    <x v="0"/>
  </r>
  <r>
    <x v="0"/>
    <n v="1547350"/>
    <s v="2017/12/14"/>
    <s v="IEC CHA No. Job No. Job Date Port of Discharge Total Package Gross Weight (Kg) FOB(INR) Total Cess (INR) Drawback STR Total (DBK+STR) CIN NO. CIN DT. Reward Flag_x000a_0504077171  AKOPK7974PCH001  8076740  14 DEC 2017 12:12  LKCMB  2100  105210  2150512  0  0  0  0  N.A.  N.A.  Click here to view item wise reward details "/>
    <s v="Current Que LEO Date EP Copy Print Status DBK Scroll No Scroll Date EGM Integration Status_x000a_HIST  18 DEC 2017 00:12  Y  N.A.  N.A.  Y "/>
    <s v="EGM No. EGM Date Container No. Seal No. Error Message_x000a_R567382012  2017-12-20 0.0.0.0  NYKU3824353  413896  N.A. "/>
    <s v="ROSL Availed Amount(INR) Scroll Number Scroll Date_x000a_NULL  NULL  NULL  NULL "/>
    <s v="GSTIN    -    06AXXXXXXXXB1ZF_x000a_Invoice Number Invoice Date IGST Paid(INR)_x000a_112  2017-12-13  4158 "/>
    <x v="219"/>
    <x v="1"/>
  </r>
  <r>
    <x v="0"/>
    <n v="1551135"/>
    <s v="2017/12/14"/>
    <s v="IEC CHA No. Job No. Job Date Port of Discharge Total Package Gross Weight (Kg) FOB(INR) Total Cess (INR) Drawback STR Total (DBK+STR) CIN NO. CIN DT. Reward Flag_x000a_0500050139  AACFL6638BCH001  8080739  14 DEC 2017 12:12  KRBUS  1271  9104  2559455.81  0  0  0  0  N.A.  N.A.  Click here to view item wise reward details "/>
    <s v="Current Que LEO Date EP Copy Print Status DBK Scroll No Scroll Date EGM Integration Status_x000a_HIST  15 DEC 2017 00:12  Y  N.A.  N.A.  Y "/>
    <s v="EGM No. EGM Date Container No. Seal No. Error Message_x000a_R27741512  2017-12-15 0.0.0.0  OOLU9658411  413874  N.A. "/>
    <s v="ROSL Availed Amount(INR) Scroll Number Scroll Date_x000a_NULL  NULL  NULL  NULL "/>
    <s v="GSTIN    -    07AXXXXXXXXF1ZU_x000a_Invoice Number Invoice Date IGST Paid(INR)_x000a_XXXXXXX069  2017-12-11  307129 "/>
    <x v="222"/>
    <x v="1"/>
  </r>
  <r>
    <x v="0"/>
    <n v="1566061"/>
    <s v="2017/12/15"/>
    <s v="IEC CHA No. Job No. Job Date Port of Discharge Total Package Gross Weight (Kg) FOB(INR) Total Cess (INR) Drawback STR Total (DBK+STR) CIN NO. CIN DT. Reward Flag_x000a_0713000201  AADCA0273BCH001  8096438  15 DEC 2017 12:12  USNWK  207  3254.2  652493.11  0  0  0  0  N.A.  N.A.  Click here to view item wise reward details "/>
    <s v="Current Que LEO Date EP Copy Print Status DBK Scroll No Scroll Date EGM Integration Status_x000a_HIST  19 DEC 2017 00:12  Y  N.A.  N.A.  Y "/>
    <s v="EGM No. EGM Date Container No. Seal No. Error Message_x000a_T587862312  2017-12-23 0.0.0.0  TGHU5214511  414880  N.A. "/>
    <s v="ROSL Availed Amount(INR) Scroll Number Scroll Date_x000a_NULL  NULL  NULL  NULL "/>
    <s v="GSTIN    -    29AXXXXXXXXJ1Z5_x000a_Invoice Number Invoice Date IGST Paid(INR)_x000a_XXXXXXXXXXX017  2017-11-17  74410 "/>
    <x v="12"/>
    <x v="1"/>
  </r>
  <r>
    <x v="0"/>
    <n v="1568268"/>
    <s v="2017/12/15"/>
    <s v="IEC CHA No. Job No. Job Date Port of Discharge Total Package Gross Weight (Kg) FOB(INR) Total Cess (INR) Drawback STR Total (DBK+STR) CIN NO. CIN DT. Reward Flag_x000a_0589053850  AVAPS6694RCH001  8098741  15 DEC 2017 12:12  AEJEA  6  3418  379053.22  0  7581  0  7581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INLU2203114  414865  N.A. "/>
    <s v="ROSL Availed Amount(INR) Scroll Number Scroll Date_x000a_N  0  ROSL NOT CLAIMED  ROSL NOT CLAIMED "/>
    <s v="GSTIN    -    06AXXXXXXXXM1ZZ_x000a_Invoice Number Invoice Date IGST Paid(INR)_x000a_070  2017-12-07  69371 "/>
    <x v="223"/>
    <x v="0"/>
  </r>
  <r>
    <x v="0"/>
    <n v="1579668"/>
    <s v="2017/12/15"/>
    <s v="IEC CHA No. Job No. Job Date Port of Discharge Total Package Gross Weight (Kg) FOB(INR) Total Cess (INR) Drawback STR Total (DBK+STR) CIN NO. CIN DT. Reward Flag_x000a_0516526065  AADCA0273BCH001  8110740  15 DEC 2017 12:12  USDAL  238  2224.73  374313.94  0  7096  0  7096  N.A.  N.A.  Click here to view item wise reward details "/>
    <s v="Current Que LEO Date EP Copy Print Status DBK Scroll No Scroll Date EGM Integration Status_x000a_HIST  20 DEC 2017 00:12  Y  23414/2018  12 JAN 2018 00:01  Y "/>
    <s v="EGM No. EGM Date Container No. Seal No. Error Message_x000a_R1977520401  2018-1-4 0.0.0.0  MRKU6416473  415872  N.A. "/>
    <s v="ROSL Availed Amount(INR) Scroll Number Scroll Date_x000a_N  0  ROSL NOT CLAIMED  ROSL NOT CLAIMED "/>
    <s v="GSTIN    -    07DXXXXXXXXL1ZP_x000a_Invoice Number Invoice Date IGST Paid(INR)_x000a_XXXXXXXXXXXX-18  2017-12-15  79128 "/>
    <x v="224"/>
    <x v="0"/>
  </r>
  <r>
    <x v="0"/>
    <n v="1580068"/>
    <s v="2017/12/15"/>
    <s v="IEC CHA No. Job No. Job Date Port of Discharge Total Package Gross Weight (Kg) FOB(INR) Total Cess (INR) Drawback STR Total (DBK+STR) CIN NO. CIN DT. Reward Flag_x000a_3011014116  ABSPN4101ECH001  8111183  15 DEC 2017 12:12  USDAL  74  1118  489056.75  0  7336  0  733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INKU2342576  414883  N.A. "/>
    <s v="ROSL Availed Amount(INR) Scroll Number Scroll Date_x000a_N  0  ROSL NOT CLAIMED  ROSL NOT CLAIMED "/>
    <s v="GSTIN    -    03AXXXXXXXXE1ZC_x000a_Invoice Number Invoice Date IGST Paid(INR)_x000a_E53  2017-12-14  88028 "/>
    <x v="225"/>
    <x v="0"/>
  </r>
  <r>
    <x v="0"/>
    <n v="1609603"/>
    <s v="2017/12/18"/>
    <s v="IEC CHA No. Job No. Job Date Port of Discharge Total Package Gross Weight (Kg) FOB(INR) Total Cess (INR) Drawback STR Total (DBK+STR) CIN NO. CIN DT. Reward Flag_x000a_0504077171  AKOPK7974PCH001  8143267  18 DEC 2017 12:12  LKCMB  2100  105210  2150512  0  0  0  0  N.A.  N.A.  Click here to view item wise reward details "/>
    <s v="Current Que LEO Date EP Copy Print Status DBK Scroll No Scroll Date EGM Integration Status_x000a_HIST  21 DEC 2017 00:12  Y  N.A.  N.A.  Y "/>
    <s v="EGM No. EGM Date Container No. Seal No. Error Message_x000a_R1577902412  2017-12-24 0.0.0.0  TCKU3848465  414969  N.A. "/>
    <s v="ROSL Availed Amount(INR) Scroll Number Scroll Date_x000a_NULL  NULL  NULL  NULL "/>
    <s v="GSTIN    -    06AXXXXXXXXB1ZF_x000a_Invoice Number Invoice Date IGST Paid(INR)_x000a_113  2017-12-15  3753 "/>
    <x v="219"/>
    <x v="1"/>
  </r>
  <r>
    <x v="0"/>
    <n v="1614481"/>
    <s v="2017/12/18"/>
    <s v="IEC CHA No. Job No. Job Date Port of Discharge Total Package Gross Weight (Kg) FOB(INR) Total Cess (INR) Drawback STR Total (DBK+STR) CIN NO. CIN DT. Reward Flag_x000a_0593052561  AAJPK0196LCH001  8148460  18 DEC 2017 12:12  ITGOA  1  11.65  17784.36  0  0  0  0  N.A.  N.A.  Click here to view item wise reward details "/>
    <s v="Current Que LEO Date EP Copy Print Status DBK Scroll No Scroll Date EGM Integration Status_x000a_HIST  27 DEC 2017 00:12  Y  N.A.  N.A.  Y "/>
    <s v="EGM No. EGM Date Container No. Seal No. Error Message_x000a_T257700501  2018-1-5 0.0.0.0  FSCU8047472  415882  N.A. "/>
    <s v="ROSL Availed Amount(INR) Scroll Number Scroll Date_x000a_NULL  NULL  NULL  NULL "/>
    <s v="GSTIN    -    08AXXXXXXXXA1Z5_x000a_Invoice Number Invoice Date IGST Paid(INR)_x000a_X090  2017-10-31  2598 "/>
    <x v="226"/>
    <x v="1"/>
  </r>
  <r>
    <x v="0"/>
    <n v="1616744"/>
    <s v="2017/12/18"/>
    <s v="IEC CHA No. Job No. Job Date Port of Discharge Total Package Gross Weight (Kg) FOB(INR) Total Cess (INR) Drawback STR Total (DBK+STR) CIN NO. CIN DT. Reward Flag_x000a_0389025364  AAJCA1821BCH001  8150914  18 DEC 2017 12:12  IRBND  2  4881.8  138632.22  0  2773  0  2773  N.A.  N.A.  Click here to view item wise reward details "/>
    <s v="Current Que LEO Date EP Copy Print Status DBK Scroll No Scroll Date EGM Integration Status_x000a_HIST  23 DEC 2017 00:12  Y  23328/2018  05 JAN 2018 00:01  Y "/>
    <s v="EGM No. EGM Date Container No. Seal No. Error Message_x000a_R557963112  2017-12-31 0.0.0.0  AMFU8791180  415489  N.A. "/>
    <s v="ROSL Availed Amount(INR) Scroll Number Scroll Date_x000a_N  0  ROSL NOT CLAIMED  ROSL NOT CLAIMED "/>
    <s v="GSTIN    -    27AXXXXXXXXG1ZZ_x000a_Invoice Number Invoice Date IGST Paid(INR)_x000a_XXXXXXXXXXXXXX-18  2017-11-30  67946 "/>
    <x v="227"/>
    <x v="0"/>
  </r>
  <r>
    <x v="0"/>
    <n v="1622551"/>
    <s v="2017/12/18"/>
    <s v="IEC CHA No. Job No. Job Date Port of Discharge Total Package Gross Weight (Kg) FOB(INR) Total Cess (INR) Drawback STR Total (DBK+STR) CIN NO. CIN DT. Reward Flag_x000a_0505000873  AOWPS6493KCH001  8157051  18 DEC 2017 12:12  MYPKG  4  3005.7  912916.55  0  18258  0  18258  N.A.  N.A.  Click here to view item wise reward details "/>
    <s v="Current Que LEO Date EP Copy Print Status DBK Scroll No Scroll Date EGM Integration Status_x000a_HIST  20 DEC 2017 00:12  Y  23237/2017  29 DEC 2017 00:12  Y "/>
    <s v="EGM No. EGM Date Container No. Seal No. Error Message_x000a_R1267142512  2017-12-25 0.0.0.0  BSIU2789699  414845  N.A. "/>
    <s v="ROSL Availed Amount(INR) Scroll Number Scroll Date_x000a_N  0  ROSL NOT CLAIMED  ROSL NOT CLAIMED "/>
    <s v="GSTIN    -    07AXXXXXXXXB1ZS_x000a_Invoice Number Invoice Date IGST Paid(INR)_x000a_XXXXXXX017  2017-12-08  89111 "/>
    <x v="228"/>
    <x v="0"/>
  </r>
  <r>
    <x v="0"/>
    <n v="1622558"/>
    <s v="2017/12/18"/>
    <s v="IEC CHA No. Job No. Job Date Port of Discharge Total Package Gross Weight (Kg) FOB(INR) Total Cess (INR) Drawback STR Total (DBK+STR) CIN NO. CIN DT. Reward Flag_x000a_0505000873  AOWPS6493KCH001  8157068  18 DEC 2017 12:12  MYPKG  3  1102.11  475953.66  0  9234  0  9234  N.A.  N.A.  Click here to view item wise reward details "/>
    <s v="Current Que LEO Date EP Copy Print Status DBK Scroll No Scroll Date EGM Integration Status_x000a_HIST  21 DEC 2017 00:12  Y  23237/2017  29 DEC 2017 00:12  Y "/>
    <s v="EGM No. EGM Date Container No. Seal No. Error Message_x000a_R1267142512  2017-12-25 0.0.0.0  BSIU2789699  414845  N.A. "/>
    <s v="ROSL Availed Amount(INR) Scroll Number Scroll Date_x000a_N  0  ROSL NOT CLAIMED  ROSL NOT CLAIMED "/>
    <s v="GSTIN    -    07AXXXXXXXXB1ZS_x000a_Invoice Number Invoice Date IGST Paid(INR)_x000a_XXXXXXX017  2017-12-15  65112 "/>
    <x v="228"/>
    <x v="0"/>
  </r>
  <r>
    <x v="0"/>
    <n v="1630870"/>
    <s v="2017/12/18"/>
    <s v="IEC CHA No. Job No. Job Date Port of Discharge Total Package Gross Weight (Kg) FOB(INR) Total Cess (INR) Drawback STR Total (DBK+STR) CIN NO. CIN DT. Reward Flag_x000a_0589036734  AEOPA9390KCH001  8165862  18 DEC 2017 12:12  DKCOP  2  482.59  527244.9  0  10526  0  1052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CRXU9950466  414877  N.A. "/>
    <s v="ROSL Availed Amount(INR) Scroll Number Scroll Date_x000a_N  0  ROSL NOT CLAIMED  ROSL NOT CLAIMED "/>
    <s v="GSTIN    -    02AXXXXXXXXK1ZJ_x000a_Invoice Number Invoice Date IGST Paid(INR)_x000a_XXXXXXXXXXXXXX-18  2017-12-16  94893 "/>
    <x v="229"/>
    <x v="0"/>
  </r>
  <r>
    <x v="0"/>
    <n v="1657961"/>
    <s v="2017/12/19"/>
    <s v="IEC CHA No. Job No. Job Date Port of Discharge Total Package Gross Weight (Kg) FOB(INR) Total Cess (INR) Drawback STR Total (DBK+STR) CIN NO. CIN DT. Reward Flag_x000a_0500050139  AACFL6638BCH001  8194502  19 DEC 2017 12:12  JPTYO  440  4319  1115259.6  0  0  0  0  N.A.  N.A.  Click here to view item wise reward details "/>
    <s v="Current Que LEO Date EP Copy Print Status DBK Scroll No Scroll Date EGM Integration Status_x000a_HIST  20 DEC 2017 00:12  Y  N.A.  N.A.  Y "/>
    <s v="EGM No. EGM Date Container No. Seal No. Error Message_x000a_R947522112  2017-12-21 0.0.0.0  TCLU3403667  414754  N.A. "/>
    <s v="ROSL Availed Amount(INR) Scroll Number Scroll Date_x000a_NULL  NULL  NULL  NULL "/>
    <s v="GSTIN    -    07AXXXXXXXXF1ZU_x000a_Invoice Number Invoice Date IGST Paid(INR)_x000a_XXXXXXX070  2017-12-14  133827 "/>
    <x v="230"/>
    <x v="1"/>
  </r>
  <r>
    <x v="0"/>
    <n v="1668810"/>
    <s v="2017/12/20"/>
    <s v="IEC CHA No. Job No. Job Date Port of Discharge Total Package Gross Weight (Kg) FOB(INR) Total Cess (INR) Drawback STR Total (DBK+STR) CIN NO. CIN DT. Reward Flag_x000a_0504077171  AKOPK7974PCH001  8205883  20 DEC 2017 12:12  LKCMB  2100  105210  2150512  0  0  0  0  N.A.  N.A.  Click here to view item wise reward details "/>
    <s v="Current Que LEO Date EP Copy Print Status DBK Scroll No Scroll Date EGM Integration Status_x000a_HIST  22 DEC 2017 00:12  Y  N.A.  N.A.  Y "/>
    <s v="EGM No. EGM Date Container No. Seal No. Error Message_x000a_J247462712  2017-12-27 0.0.0.0  TCKU3164098  415087  N.A. "/>
    <s v="ROSL Availed Amount(INR) Scroll Number Scroll Date_x000a_NULL  NULL  NULL  NULL "/>
    <s v="GSTIN    -    06AXXXXXXXXB1ZF_x000a_Invoice Number Invoice Date IGST Paid(INR)_x000a_114  2017-12-18  3753 "/>
    <x v="219"/>
    <x v="1"/>
  </r>
  <r>
    <x v="0"/>
    <n v="1670652"/>
    <s v="2017/12/20"/>
    <s v="IEC CHA No. Job No. Job Date Port of Discharge Total Package Gross Weight (Kg) FOB(INR) Total Cess (INR) Drawback STR Total (DBK+STR) CIN NO. CIN DT. Reward Flag_x000a_0513013971  AFVPB8766JCH001  8207864  20 DEC 2017 12:12  AEJEA  34  522.2  142369.5  0  3275  0  3275  N.A.  N.A.  Click here to view item wise reward details "/>
    <s v="Current Que LEO Date EP Copy Print Status DBK Scroll No Scroll Date EGM Integration Status_x000a_HIST  21 DEC 2017 00:12  Y  23328/2018  05 JAN 2018 00:01  Y "/>
    <s v="EGM No. EGM Date Container No. Seal No. Error Message_x000a_T987020101  2018-1-1 0.0.0.0  WHLU5123143  415820  N.A. "/>
    <s v="ROSL Availed Amount(INR) Scroll Number Scroll Date_x000a_N  0  ROSL NOT CLAIMED  ROSL NOT CLAIMED "/>
    <s v="GSTIN    -    07AXXXXXXXXB1ZE_x000a_Invoice Number Invoice Date IGST Paid(INR)_x000a_XXXMA8  2017-12-12  17084 "/>
    <x v="231"/>
    <x v="0"/>
  </r>
  <r>
    <x v="0"/>
    <n v="1671114"/>
    <s v="2017/12/20"/>
    <s v="IEC CHA No. Job No. Job Date Port of Discharge Total Package Gross Weight (Kg) FOB(INR) Total Cess (INR) Drawback STR Total (DBK+STR) CIN NO. CIN DT. Reward Flag_x000a_3393002155  AAACU5306LCH002  8208365  20 DEC 2017 12:12  USNYC  1  316.67  282063.6  0  1374  0  1374  N.A.  N.A.  Click here to view item wise reward details "/>
    <s v="Current Que LEO Date EP Copy Print Status DBK Scroll No Scroll Date EGM Integration Status_x000a_HIST  22 DEC 2017 00:12  Y  23328/2018  05 JAN 2018 00:01  Y "/>
    <s v="EGM No. EGM Date Container No. Seal No. Error Message_x000a_R627622812  2017-12-28 0.0.0.0  TCNU6391417  415420  N.A. "/>
    <s v="ROSL Availed Amount(INR) Scroll Number Scroll Date_x000a_N  0  ROSL NOT CLAIMED  ROSL NOT CLAIMED "/>
    <s v="GSTIN    -    06AXXXXXXXXC2Z2_x000a_Invoice Number Invoice Date IGST Paid(INR)_x000a_XXXXX028  2017-12-14  50771448 "/>
    <x v="232"/>
    <x v="0"/>
  </r>
  <r>
    <x v="0"/>
    <n v="1673346"/>
    <s v="2017/12/20"/>
    <s v="IEC CHA No. Job No. Job Date Port of Discharge Total Package Gross Weight (Kg) FOB(INR) Total Cess (INR) Drawback STR Total (DBK+STR) CIN NO. CIN DT. Reward Flag_x000a_0510006329  AEAPD9155RCH001  8210702  20 DEC 2017 12:12  LKCMB  15  631.4  99754.2  0  0  0  0  N.A.  N.A.  Click here to view item wise reward details "/>
    <s v="Current Que LEO Date EP Copy Print Status DBK Scroll No Scroll Date EGM Integration Status_x000a_HIST  21 DEC 2017 00:12  Y  N.A.  N.A.  Y "/>
    <s v="EGM No. EGM Date Container No. Seal No. Error Message_x000a_T587862312  2017-12-23 0.0.0.0  HDMU6838625  414844  N.A. "/>
    <s v="ROSL Availed Amount(INR) Scroll Number Scroll Date_x000a_NULL  NULL  NULL  NULL "/>
    <s v="GSTIN    -    06AXXXXXXXXJ1ZI_x000a_Invoice Number Invoice Date IGST Paid(INR)_x000a_XXXXXXXXXXXXX762  2017-12-16  11970 "/>
    <x v="215"/>
    <x v="1"/>
  </r>
  <r>
    <x v="0"/>
    <n v="1682294"/>
    <s v="2017/12/20"/>
    <s v="IEC CHA No. Job No. Job Date Port of Discharge Total Package Gross Weight (Kg) FOB(INR) Total Cess (INR) Drawback STR Total (DBK+STR) CIN NO. CIN DT. Reward Flag_x000a_0507018591  AAJCA1821BCH001  8220180  20 DEC 2017 12:12  CNSHA  115  1500  504504  0  7166  0  7166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CLU3881619  415438  N.A. "/>
    <s v="ROSL Availed Amount(INR) Scroll Number Scroll Date_x000a_N  0  ROSL NOT CLAIMED  ROSL NOT CLAIMED "/>
    <s v="GSTIN    -    06AXXXXXXXXJ1ZK_x000a_Invoice Number Invoice Date IGST Paid(INR)_x000a_16  2017-12-20  25223 "/>
    <x v="233"/>
    <x v="0"/>
  </r>
  <r>
    <x v="0"/>
    <n v="1694312"/>
    <s v="2017/12/21"/>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2 DEC 2017 00:12  Y  N.A.  N.A.  Y "/>
    <s v="EGM No. EGM Date Container No. Seal No. Error Message_x000a_T1007642212  2017-12-22 0.0.0.0  RFCU2268528  LYNK00542782  N.A. "/>
    <s v="ROSL Availed Amount(INR) Scroll Number Scroll Date_x000a_NULL  NULL  NULL  NULL "/>
    <s v="GSTIN    -    08AXXXXXXXXD1ZM_x000a_Invoice Number Invoice Date IGST Paid(INR)_x000a_XXXXXXX646  2017-12-21  471806 "/>
    <x v="234"/>
    <x v="1"/>
  </r>
  <r>
    <x v="0"/>
    <n v="1696466"/>
    <s v="2017/12/21"/>
    <s v="IEC CHA No. Job No. Job Date Port of Discharge Total Package Gross Weight (Kg) FOB(INR) Total Cess (INR) Drawback STR Total (DBK+STR) CIN NO. CIN DT. Reward Flag_x000a_0504077171  AKOPK7974PCH001  8235036  21 DEC 2017 12:12  LKCMB  2100  105210  2150512  0  0  0  0  N.A.  N.A.  Click here to view item wise reward details "/>
    <s v="Current Que LEO Date EP Copy Print Status DBK Scroll No Scroll Date EGM Integration Status_x000a_HIST  26 DEC 2017 00:12  Y  N.A.  N.A.  Y "/>
    <s v="EGM No. EGM Date Container No. Seal No. Error Message_x000a_J247462712  2017-12-27 0.0.0.0  CAIU3885876  414651  N.A. "/>
    <s v="ROSL Availed Amount(INR) Scroll Number Scroll Date_x000a_NULL  NULL  NULL  NULL "/>
    <s v="GSTIN    -    06AXXXXXXXXB1ZF_x000a_Invoice Number Invoice Date IGST Paid(INR)_x000a_115  2017-12-20  3753 "/>
    <x v="219"/>
    <x v="1"/>
  </r>
  <r>
    <x v="0"/>
    <n v="1705753"/>
    <s v="2017/12/21"/>
    <s v="IEC CHA No. Job No. Job Date Port of Discharge Total Package Gross Weight (Kg) FOB(INR) Total Cess (INR) Drawback STR Total (DBK+STR) CIN NO. CIN DT. Reward Flag_x000a_0595012647  AAACC6689ECH001  8244778  21 DEC 2017 12:12  PKKHI  2755  47663  7558071.89  0  113371  0  113371  N.A.  N.A.  Click here to view item wise reward details "/>
    <s v="Current Que LEO Date EP Copy Print Status DBK Scroll No Scroll Date EGM Integration Status_x000a_HIST  26 DEC 2017 00:12  Y  23328/2018  05 JAN 2018 00:01  Y "/>
    <s v="EGM No. EGM Date Container No. Seal No. Error Message_x000a_Z17883012  2017-12-30 0.0.0.0  CRSU9314842  001894  N.A. "/>
    <s v="ROSL Availed Amount(INR) Scroll Number Scroll Date_x000a_N  0  ROSL NOT CLAIMED  ROSL NOT CLAIMED "/>
    <s v="GSTIN    -    07AXXXXXXXXB1ZR_x000a_Invoice Number Invoice Date IGST Paid(INR)_x000a_XXXXXXXXX-18  2017-12-21  7550 "/>
    <x v="235"/>
    <x v="0"/>
  </r>
  <r>
    <x v="0"/>
    <n v="1718128"/>
    <s v="2017/12/22"/>
    <s v="IEC CHA No. Job No. Job Date Port of Discharge Total Package Gross Weight (Kg) FOB(INR) Total Cess (INR) Drawback STR Total (DBK+STR) CIN NO. CIN DT. Reward Flag_x000a_0589036734  AEOPA9390KCH001  8257770  22 DEC 2017 12:12  DKCOP  2  510.43  533837.76  0  10677  0  10677  N.A.  N.A.  Click here to view item wise reward details "/>
    <s v="Current Que LEO Date EP Copy Print Status DBK Scroll No Scroll Date EGM Integration Status_x000a_HIST  23 DEC 2017 00:12  Y  23328/2018  05 JAN 2018 00:01  Y "/>
    <s v="EGM No. EGM Date Container No. Seal No. Error Message_x000a_R987702912  2017-12-29 0.0.0.0  HASU4458235  415458  N.A. "/>
    <s v="ROSL Availed Amount(INR) Scroll Number Scroll Date_x000a_N  0  ROSL NOT CLAIMED  ROSL NOT CLAIMED "/>
    <s v="GSTIN    -    02AXXXXXXXXK1ZJ_x000a_Invoice Number Invoice Date IGST Paid(INR)_x000a_XXXXXXXXXXXXXX-18  2017-12-20  96086 "/>
    <x v="236"/>
    <x v="0"/>
  </r>
  <r>
    <x v="0"/>
    <n v="1719344"/>
    <s v="2017/12/22"/>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7 DEC 2017 00:12  Y  N.A.  N.A.  Y "/>
    <s v="EGM No. EGM Date Container No. Seal No. Error Message_x000a_R827422712  2017-12-27 0.0.0.0  TCKU3346030  LYNK00542784  N.A. "/>
    <s v="ROSL Availed Amount(INR) Scroll Number Scroll Date_x000a_NULL  NULL  NULL  NULL "/>
    <s v="GSTIN    -    08AXXXXXXXXD1ZM_x000a_Invoice Number Invoice Date IGST Paid(INR)_x000a_XXXXXXX649  2017-12-21  426808 _x000a_XXXXXXX650  2017-12-21  44889 "/>
    <x v="237"/>
    <x v="1"/>
  </r>
  <r>
    <x v="0"/>
    <n v="1729499"/>
    <s v="2017/12/22"/>
    <s v="IEC CHA No. Job No. Job Date Port of Discharge Total Package Gross Weight (Kg) FOB(INR) Total Cess (INR) Drawback STR Total (DBK+STR) CIN NO. CIN DT. Reward Flag_x000a_0503010316  AHDPK8975CCH001  8269759  22 DEC 2017 12:12  AEJEA  14  6261  2955037.34  0  44326  0  44326  N.A.  N.A.  Click here to view item wise reward details "/>
    <s v="Current Que LEO Date EP Copy Print Status DBK Scroll No Scroll Date EGM Integration Status_x000a_HIST  28 DEC 2017 00:12  Y  24432/2018  25 MAR 2018 00:03  Y "/>
    <s v="EGM No. EGM Date Container No. Seal No. Error Message_x000a_Z17883012  2017-12-30 0.0.0.0  HDMU2472219  415642  N.A. "/>
    <s v="ROSL Availed Amount(INR) Scroll Number Scroll Date_x000a_N  0  ROSL NOT CLAIMED  ROSL NOT CLAIMED "/>
    <s v="GSTIN    -    06AXXXXXXXXG1ZP_x000a_Invoice Number Invoice Date IGST Paid(INR)_x000a_XXXXXXXXXXXXX164  2017-12-20  1522 "/>
    <x v="238"/>
    <x v="0"/>
  </r>
  <r>
    <x v="0"/>
    <n v="1752198"/>
    <s v="2017/12/23"/>
    <s v="IEC CHA No. Job No. Job Date Port of Discharge Total Package Gross Weight (Kg) FOB(INR) Total Cess (INR) Drawback STR Total (DBK+STR) CIN NO. CIN DT. Reward Flag_x000a_0511006519  AAEFP2740ECH001  8293657  23 DEC 2017 12:12  ZAJNB  791  14631.06  3149801.42  0  62856  0  62856  N.A.  N.A.  Click here to view item wise reward details "/>
    <s v="Current Que LEO Date EP Copy Print Status DBK Scroll No Scroll Date EGM Integration Status_x000a_HIST  27 DEC 2017 00:12  Y  23328/2018  05 JAN 2018 00:01  Y "/>
    <s v="EGM No. EGM Date Container No. Seal No. Error Message_x000a_R827422712  2017-12-27 0.0.0.0  PONU0253154  LYNK00564451  N.A. "/>
    <s v="ROSL Availed Amount(INR) Scroll Number Scroll Date_x000a_N  0  ROSL NOT CLAIMED  ROSL NOT CLAIMED "/>
    <s v="GSTIN    -    06AXXXXXXXXN1ZD_x000a_Invoice Number Invoice Date IGST Paid(INR)_x000a_XXX112  2017-12-11  6208 "/>
    <x v="239"/>
    <x v="0"/>
  </r>
  <r>
    <x v="0"/>
    <n v="1773410"/>
    <s v="2017/12/26"/>
    <s v="IEC CHA No. Job No. Job Date Port of Discharge Total Package Gross Weight (Kg) FOB(INR) Total Cess (INR) Drawback STR Total (DBK+STR) CIN NO. CIN DT. Reward Flag_x000a_0504077171  AKOPK7974PCH001  8315926  26 DEC 2017 12:12  LKCMB  2100  105210  2133632  0  0  0  0  N.A.  N.A.  Click here to view item wise reward details "/>
    <s v="Current Que LEO Date EP Copy Print Status DBK Scroll No Scroll Date EGM Integration Status_x000a_HIST  28 DEC 2017 00:12  Y  N.A.  N.A.  Y "/>
    <s v="EGM No. EGM Date Container No. Seal No. Error Message_x000a_J477923112  2017-12-31 0.0.0.0  DFSU1161364  GEID00000171  N.A. "/>
    <s v="ROSL Availed Amount(INR) Scroll Number Scroll Date_x000a_NULL  NULL  NULL  NULL "/>
    <s v="GSTIN    -    06AXXXXXXXXB1ZF_x000a_Invoice Number Invoice Date IGST Paid(INR)_x000a_116  2017-12-25  3753 "/>
    <x v="240"/>
    <x v="1"/>
  </r>
  <r>
    <x v="0"/>
    <n v="1773615"/>
    <s v="2017/12/26"/>
    <s v="IEC CHA No. Job No. Job Date Port of Discharge Total Package Gross Weight (Kg) FOB(INR) Total Cess (INR) Drawback STR Total (DBK+STR) CIN NO. CIN DT. Reward Flag_x000a_0500068241  AADFT2787LCH001  8316108  26 DEC 2017 12:12  TWKEL  34  1135  2392120  0  35882  0  35882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RLU7452102  415457  N.A. "/>
    <s v="ROSL Availed Amount(INR) Scroll Number Scroll Date_x000a_N  0  ROSL NOT CLAIMED  ROSL NOT CLAIMED "/>
    <s v="GSTIN    -    07AXXXXXXXXK1ZR_x000a_Invoice Number Invoice Date IGST Paid(INR)_x000a_065  2017-12-23  287054 "/>
    <x v="228"/>
    <x v="0"/>
  </r>
  <r>
    <x v="0"/>
    <n v="1779449"/>
    <s v="2017/12/26"/>
    <s v="IEC CHA No. Job No. Job Date Port of Discharge Total Package Gross Weight (Kg) FOB(INR) Total Cess (INR) Drawback STR Total (DBK+STR) CIN NO. CIN DT. Reward Flag_x000a_0595012647  AAACC6689ECH001  8322216  26 DEC 2017 12:12  PKKHI  1185  16223  14360970  0  215415  0  215415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806945  416065  N.A. "/>
    <s v="ROSL Availed Amount(INR) Scroll Number Scroll Date_x000a_N  0  ROSL NOT CLAIMED  ROSL NOT CLAIMED "/>
    <s v="GSTIN    -    07AXXXXXXXXB1ZR_x000a_Invoice Number Invoice Date IGST Paid(INR)_x000a_XXXXXXXXX-18  2017-12-22  14360 "/>
    <x v="241"/>
    <x v="0"/>
  </r>
  <r>
    <x v="0"/>
    <n v="1780079"/>
    <s v="2017/12/26"/>
    <s v="IEC CHA No. Job No. Job Date Port of Discharge Total Package Gross Weight (Kg) FOB(INR) Total Cess (INR) Drawback STR Total (DBK+STR) CIN NO. CIN DT. Reward Flag_x000a_0589036734  AEOPA9390KCH001  8322916  26 DEC 2017 12:12  DKCOP  2  387.02  431681.28  0  8634  0  8634  N.A.  N.A.  Click here to view item wise reward details "/>
    <s v="Current Que LEO Date EP Copy Print Status DBK Scroll No Scroll Date EGM Integration Status_x000a_HIST  27 DEC 2017 00:12  Y  23328/2018  05 JAN 2018 00:01  Y "/>
    <s v="EGM No. EGM Date Container No. Seal No. Error Message_x000a_R987702912  2017-12-29 0.0.0.0  HASU4458235  415458  N.A. "/>
    <s v="ROSL Availed Amount(INR) Scroll Number Scroll Date_x000a_N  0  ROSL NOT CLAIMED  ROSL NOT CLAIMED "/>
    <s v="GSTIN    -    02AXXXXXXXXK1ZJ_x000a_Invoice Number Invoice Date IGST Paid(INR)_x000a_XXXXXXXXXXXXXX-18  2017-12-23  77699 "/>
    <x v="236"/>
    <x v="0"/>
  </r>
  <r>
    <x v="0"/>
    <n v="1787183"/>
    <s v="2017/12/26"/>
    <s v="IEC CHA No. Job No. Job Date Port of Discharge Total Package Gross Weight (Kg) FOB(INR) Total Cess (INR) Drawback STR Total (DBK+STR) CIN NO. CIN DT. Reward Flag_x000a_0513039759  AKMPA9089KCH001  8330316  26 DEC 2017 12:12  IRBND  349  7500  1312284.8  0  19684  0  19684  N.A.  N.A.  Click here to view item wise reward details "/>
    <s v="Current Que LEO Date EP Copy Print Status DBK Scroll No Scroll Date EGM Integration Status_x000a_HIST  28 DEC 2017 00:12  Y  23414/2018  12 JAN 2018 00:01  Y "/>
    <s v="EGM No. EGM Date Container No. Seal No. Error Message_x000a_R1577680501  2018-1-5 0.0.0.0  TCNU9903836  416467  N.A. "/>
    <s v="ROSL Availed Amount(INR) Scroll Number Scroll Date_x000a_N  0  ROSL NOT CLAIMED  ROSL NOT CLAIMED "/>
    <s v="GSTIN    -    07AXXXXXXXXK1Z5_x000a_Invoice Number Invoice Date IGST Paid(INR)_x000a_XXXXXXXXXXXXXX-18  2017-12-25  238078 "/>
    <x v="227"/>
    <x v="0"/>
  </r>
  <r>
    <x v="0"/>
    <n v="1789517"/>
    <s v="2017/12/26"/>
    <s v="IEC CHA No. Job No. Job Date Port of Discharge Total Package Gross Weight (Kg) FOB(INR) Total Cess (INR) Drawback STR Total (DBK+STR) CIN NO. CIN DT. Reward Flag_x000a_0503019321  AXAPK5104ECH001  8332795  26 DEC 2017 12:12  LKCMB  74  8894.8  1963168.33  0  35337  0  35337  N.A.  N.A.  Click here to view item wise reward details "/>
    <s v="Current Que LEO Date EP Copy Print Status DBK Scroll No Scroll Date EGM Integration Status_x000a_HIST  29 DEC 2017 00:12  Y  24432/2018  25 MAR 2018 00:03  Y "/>
    <s v="EGM No. EGM Date Container No. Seal No. Error Message_x000a_J187200201  2018-1-2 0.0.0.0  TRHU1718645  415796  N.A. "/>
    <s v="ROSL Availed Amount(INR) Scroll Number Scroll Date_x000a_N  0  ROSL NOT CLAIMED  ROSL NOT CLAIMED "/>
    <s v="GSTIN    -    08AXXXXXXXXA1ZT_x000a_Invoice Number Invoice Date IGST Paid(INR)_x000a_XXX/02  2017-12-26  99422 "/>
    <x v="2"/>
    <x v="0"/>
  </r>
  <r>
    <x v="0"/>
    <n v="1808535"/>
    <s v="2017/12/27"/>
    <s v="IEC CHA No. Job No. Job Date Port of Discharge Total Package Gross Weight (Kg) FOB(INR) Total Cess (INR) Drawback STR Total (DBK+STR) CIN NO. CIN DT. Reward Flag_x000a_0504077171  AKOPK7974PCH001  8352771  27 DEC 2017 12:12  LKCMB  2100  105210  2133632  0  0  0  0  N.A.  N.A.  Click here to view item wise reward details "/>
    <s v="Current Que LEO Date EP Copy Print Status DBK Scroll No Scroll Date EGM Integration Status_x000a_HIST  29 DEC 2017 00:12  Y  N.A.  N.A.  Y "/>
    <s v="EGM No. EGM Date Container No. Seal No. Error Message_x000a_J477923112  2017-12-31 0.0.0.0  CAIU2296399  GEID00000177  N.A. "/>
    <s v="ROSL Availed Amount(INR) Scroll Number Scroll Date_x000a_NULL  NULL  NULL  NULL "/>
    <s v="GSTIN    -    06AXXXXXXXXB1ZF_x000a_Invoice Number Invoice Date IGST Paid(INR)_x000a_117  2017-12-26  4081 "/>
    <x v="240"/>
    <x v="1"/>
  </r>
  <r>
    <x v="0"/>
    <n v="1809398"/>
    <s v="2017/12/27"/>
    <s v="IEC CHA No. Job No. Job Date Port of Discharge Total Package Gross Weight (Kg) FOB(INR) Total Cess (INR) Drawback STR Total (DBK+STR) CIN NO. CIN DT. Reward Flag_x000a_0509025765  AFFPC6074GCH001  8353709  27 DEC 2017 12:12  MUPLU  58  1500  725799  0  0  0  0  N.A.  N.A.  Click here to view item wise reward details "/>
    <s v="Current Que LEO Date EP Copy Print Status DBK Scroll No Scroll Date EGM Integration Status_x000a_HIST  28 DEC 2017 00:12  Y  N.A.  N.A.  Y "/>
    <s v="EGM No. EGM Date Container No. Seal No. Error Message_x000a_T987020101  2018-1-1 0.0.0.0  HJCU1719711  415025  N.A. "/>
    <s v="ROSL Availed Amount(INR) Scroll Number Scroll Date_x000a_NULL  NULL  NULL  NULL "/>
    <s v="GSTIN    -    07AXXXXXXXXP1Z3_x000a_Invoice Number Invoice Date IGST Paid(INR)_x000a_X021  2017-12-14  32148 _x000a_X022  2017-12-14  27327 _x000a_X023  2017-12-14  29400 "/>
    <x v="242"/>
    <x v="1"/>
  </r>
  <r>
    <x v="0"/>
    <n v="1811286"/>
    <s v="2017/12/27"/>
    <s v="IEC CHA No. Job No. Job Date Port of Discharge Total Package Gross Weight (Kg) FOB(INR) Total Cess (INR) Drawback STR Total (DBK+STR) CIN NO. CIN DT. Reward Flag_x000a_1210001128  AACCA3147PCH001  8355698  27 DEC 2017 12:12  VNHPH  12  412.3  237283.4  0  6407  0  6407  N.A.  N.A.  Click here to view item wise reward details "/>
    <s v="Current Que LEO Date EP Copy Print Status DBK Scroll No Scroll Date EGM Integration Status_x000a_HIST  03 JAN 2018 00:01  Y  23481/2018  18 JAN 2018 00:01  Y "/>
    <s v="EGM No. EGM Date Container No. Seal No. Error Message_x000a_T437021401  2018-1-14 0.0.0.0  TEMU0782559  417070  N.A. "/>
    <s v="ROSL Availed Amount(INR) Scroll Number Scroll Date_x000a_N  0  ROSL NOT CLAIMED  ROSL NOT CLAIMED "/>
    <s v="GSTIN    -    03AXXXXXXXXP1ZA_x000a_Invoice Number Invoice Date IGST Paid(INR)_x000a_XXXX937  2017-12-19  11723 "/>
    <x v="243"/>
    <x v="0"/>
  </r>
  <r>
    <x v="0"/>
    <n v="1817413"/>
    <s v="2017/12/27"/>
    <s v="IEC CHA No. Job No. Job Date Port of Discharge Total Package Gross Weight (Kg) FOB(INR) Total Cess (INR) Drawback STR Total (DBK+STR) CIN NO. CIN DT. Reward Flag_x000a_0595012647  AAACC6689ECH001  8362130  27 DEC 2017 12:12  PKKHI  1457  24031  4832083.66  0  72481  0  72481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785903  001898  N.A. "/>
    <s v="ROSL Availed Amount(INR) Scroll Number Scroll Date_x000a_N  0  ROSL NOT CLAIMED  ROSL NOT CLAIMED "/>
    <s v="GSTIN    -    07AXXXXXXXXB1ZR_x000a_Invoice Number Invoice Date IGST Paid(INR)_x000a_XXXXXXXXX-18  2017-12-27  4829 "/>
    <x v="241"/>
    <x v="0"/>
  </r>
  <r>
    <x v="0"/>
    <n v="1817472"/>
    <s v="2017/12/27"/>
    <s v="IEC CHA No. Job No. Job Date Port of Discharge Total Package Gross Weight (Kg) FOB(INR) Total Cess (INR) Drawback STR Total (DBK+STR) CIN NO. CIN DT. Reward Flag_x000a_0595012647  AAACC6689ECH001  8362200  27 DEC 2017 12:12  PKKHI  2652  48008  11120240.98  0  166804  0  166804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TCNU7193524  001896  N.A. "/>
    <s v="ROSL Availed Amount(INR) Scroll Number Scroll Date_x000a_N  0  ROSL NOT CLAIMED  ROSL NOT CLAIMED "/>
    <s v="GSTIN    -    07AXXXXXXXXB1ZR_x000a_Invoice Number Invoice Date IGST Paid(INR)_x000a_XXXXXXXXX-18  2017-12-27  11114 "/>
    <x v="241"/>
    <x v="0"/>
  </r>
  <r>
    <x v="0"/>
    <n v="1838515"/>
    <s v="2017/12/28"/>
    <s v="IEC CHA No. Job No. Job Date Port of Discharge Total Package Gross Weight (Kg) FOB(INR) Total Cess (INR) Drawback STR Total (DBK+STR) CIN NO. CIN DT. Reward Flag_x000a_0504077171  AKOPK7974PCH001  8384285  28 DEC 2017 12:12  LKCMB  2100  105210  2133632  0  0  0  0  N.A.  N.A.  Click here to view item wise reward details "/>
    <s v="Current Que LEO Date EP Copy Print Status DBK Scroll No Scroll Date EGM Integration Status_x000a_HIST  01 JAN 2018 00:01  Y  N.A.  N.A.  Y "/>
    <s v="EGM No. EGM Date Container No. Seal No. Error Message_x000a_TX207260201  2018-1-2 0.0.0.0  HDMU2596246  GEID00000181  N.A. "/>
    <s v="ROSL Availed Amount(INR) Scroll Number Scroll Date_x000a_NULL  NULL  NULL  NULL "/>
    <s v="GSTIN    -    06AXXXXXXXXB1ZF_x000a_Invoice Number Invoice Date IGST Paid(INR)_x000a_118  2017-12-27  3647 "/>
    <x v="244"/>
    <x v="1"/>
  </r>
  <r>
    <x v="0"/>
    <n v="1852350"/>
    <s v="2017/12/28"/>
    <s v="IEC CHA No. Job No. Job Date Port of Discharge Total Package Gross Weight (Kg) FOB(INR) Total Cess (INR) Drawback STR Total (DBK+STR) CIN NO. CIN DT. Reward Flag_x000a_0500050139  AACFL6638BCH001  8398812  28 DEC 2017 12:12  BJCOO  612  21217  6059616  0  0  0  0  N.A.  N.A.  Click here to view item wise reward details "/>
    <s v="Current Que LEO Date EP Copy Print Status DBK Scroll No Scroll Date EGM Integration Status_x000a_HIST  29 DEC 2017 00:12  Y  N.A.  N.A.  Y "/>
    <s v="EGM No. EGM Date Container No. Seal No. Error Message_x000a_J477923112  2017-12-31 0.0.0.0  MSKU2326584  415287  N.A. "/>
    <s v="ROSL Availed Amount(INR) Scroll Number Scroll Date_x000a_NULL  NULL  NULL  NULL "/>
    <s v="GSTIN    -    07AXXXXXXXXF1ZU_x000a_Invoice Number Invoice Date IGST Paid(INR)_x000a_XXXXXXX072  2017-12-26  727153 "/>
    <x v="245"/>
    <x v="1"/>
  </r>
  <r>
    <x v="0"/>
    <n v="1865148"/>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287920701  2018-1-7 0.0.0.0  BAXU5062245  416534  N.A. "/>
    <s v="ROSL Availed Amount(INR) Scroll Number Scroll Date_x000a_NULL  NULL  NULL  NULL "/>
    <s v="GSTIN    -    08AXXXXXXXXD1ZM_x000a_Invoice Number Invoice Date IGST Paid(INR)_x000a_XXXXXXX687  2017-12-28  233780 "/>
    <x v="246"/>
    <x v="1"/>
  </r>
  <r>
    <x v="0"/>
    <n v="1865329"/>
    <s v="2017/12/29"/>
    <s v="IEC CHA No. Job No. Job Date Port of Discharge Total Package Gross Weight (Kg) FOB(INR) Total Cess (INR) Drawback STR Total (DBK+STR) CIN NO. CIN DT. Reward Flag_x000a_0504077171  AKOPK7974PCH001  8412479  29 DEC 2017 12:12  LKCMB  2100  105210  2664512  0  0  0  0  N.A.  N.A.  Click here to view item wise reward details "/>
    <s v="Current Que LEO Date EP Copy Print Status DBK Scroll No Scroll Date EGM Integration Status_x000a_HIST  02 JAN 2018 00:01  Y  N.A.  N.A.  Y "/>
    <s v="EGM No. EGM Date Container No. Seal No. Error Message_x000a_R937340301  2018-1-3 0.0.0.0  TCLU3282230  GEID00000186  N.A. "/>
    <s v="ROSL Availed Amount(INR) Scroll Number Scroll Date_x000a_NULL  NULL  NULL  NULL "/>
    <s v="GSTIN    -    06AXXXXXXXXB1ZF_x000a_Invoice Number Invoice Date IGST Paid(INR)_x000a_119  2017-12-28  4082 "/>
    <x v="247"/>
    <x v="1"/>
  </r>
  <r>
    <x v="0"/>
    <n v="1866627"/>
    <s v="2017/12/29"/>
    <s v="IEC CHA No. Job No. Job Date Port of Discharge Total Package Gross Weight (Kg) FOB(INR) Total Cess (INR) Drawback STR Total (DBK+STR) CIN NO. CIN DT. Reward Flag_x000a_0589036734  AEOPA9390KCH001  8413784  29 DEC 2017 12:12  DKCOP  2  507.76  467680  0  9354  0  9354  N.A.  N.A.  Click here to view item wise reward details "/>
    <s v="Current Que LEO Date EP Copy Print Status DBK Scroll No Scroll Date EGM Integration Status_x000a_HIST  30 DEC 2017 00:12  Y  24432/2018  25 MAR 2018 00:03  Y "/>
    <s v="EGM No. EGM Date Container No. Seal No. Error Message_x000a_T897341001  2018-1-10 0.0.0.0  HLXU8630693  416587  N.A. "/>
    <s v="ROSL Availed Amount(INR) Scroll Number Scroll Date_x000a_N  0  ROSL NOT CLAIMED  ROSL NOT CLAIMED "/>
    <s v="GSTIN    -    02AXXXXXXXXK1ZJ_x000a_Invoice Number Invoice Date IGST Paid(INR)_x000a_XXXXXXXXXXXXXX-18  2017-12-28  84175 "/>
    <x v="248"/>
    <x v="0"/>
  </r>
  <r>
    <x v="0"/>
    <n v="1868552"/>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1977520401  2018-1-4 0.0.0.0  TRLU7451153  415871  N.A. "/>
    <s v="ROSL Availed Amount(INR) Scroll Number Scroll Date_x000a_NULL  NULL  NULL  NULL "/>
    <s v="GSTIN    -    08AXXXXXXXXD1ZM_x000a_Invoice Number Invoice Date IGST Paid(INR)_x000a_XXXXXXX697  2017-12-29  22519 "/>
    <x v="249"/>
    <x v="1"/>
  </r>
  <r>
    <x v="0"/>
    <n v="1899578"/>
    <s v="2017/12/30"/>
    <s v="IEC CHA No. Job No. Job Date Port of Discharge Total Package Gross Weight (Kg) FOB(INR) Total Cess (INR) Drawback STR Total (DBK+STR) CIN NO. CIN DT. Reward Flag_x000a_0588128180  ADFFS3281FCH001  8448407  30 DEC 2017 12:12  NZAKL  22  490  93220  0  0  0  0  N.A.  N.A.  Click here to view item wise reward details "/>
    <s v="Current Que LEO Date EP Copy Print Status DBK Scroll No Scroll Date EGM Integration Status_x000a_HIST  05 JAN 2018 00:01  Y  N.A.  N.A.  Y "/>
    <s v="EGM No. EGM Date Container No. Seal No. Error Message_x000a_T437021401  2018-1-14 0.0.0.0  TEMU0782559  417070  N.A. "/>
    <s v="ROSL Availed Amount(INR) Scroll Number Scroll Date_x000a_NULL  NULL  NULL  NULL "/>
    <s v="GSTIN    -    07AXXXXXXXXJ1Z1_x000a_Invoice Number Invoice Date IGST Paid(INR)_x000a_XXXXXXXX/17  2017-12-28  1137 "/>
    <x v="243"/>
    <x v="1"/>
  </r>
  <r>
    <x v="0"/>
    <n v="1900474"/>
    <s v="2017/12/30"/>
    <s v="IEC CHA No. Job No. Job Date Port of Discharge Total Package Gross Weight (Kg) FOB(INR) Total Cess (INR) Drawback STR Total (DBK+STR) CIN NO. CIN DT. Reward Flag_x000a_AGEPB3375R  AHDPK8975CCH001  8449353  30 DEC 2017 12:12  AEJEA  3  481  85446.4  0  1709  0  1709  N.A.  N.A.  Click here to view item wise reward details "/>
    <s v="Current Que LEO Date EP Copy Print Status DBK Scroll No Scroll Date EGM Integration Status_x000a_HIST  04 JAN 2018 00:01  Y  23414/2018  12 JAN 2018 00:01  Y "/>
    <s v="EGM No. EGM Date Container No. Seal No. Error Message_x000a_R1177860601  2018-1-6 0.0.0.0  CRSU1073564  416539  N.A. "/>
    <s v="ROSL Availed Amount(INR) Scroll Number Scroll Date_x000a_N  0  ROSL NOT CLAIMED  ROSL NOT CLAIMED "/>
    <s v="GSTIN    -    06AXXXXXXXXR1Z3_x000a_Invoice Number Invoice Date IGST Paid(INR)_x000a_XXXXXXXXXXXXXXOL-  2017-12-29  15380 "/>
    <x v="250"/>
    <x v="0"/>
  </r>
  <r>
    <x v="0"/>
    <n v="1904114"/>
    <s v="2017/12/30"/>
    <s v="IEC CHA No. Job No. Job Date Port of Discharge Total Package Gross Weight (Kg) FOB(INR) Total Cess (INR) Drawback STR Total (DBK+STR) CIN NO. CIN DT. Reward Flag_x000a_0595012647  AAACC6689ECH001  8453171  30 DEC 2017 12:12  PKKHI  1369  20982  5534737.47  0  83021  0  83021  N.A.  N.A.  Click here to view item wise reward details "/>
    <s v="Current Que LEO Date EP Copy Print Status DBK Scroll No Scroll Date EGM Integration Status_x000a_HIST  05 JAN 2018 00:01  Y  23414/2018  12 JAN 2018 00:01  Y "/>
    <s v="EGM No. EGM Date Container No. Seal No. Error Message_x000a_R127160801  2018-1-8 0.0.0.0  DFSU7698896  001899  N.A. "/>
    <s v="ROSL Availed Amount(INR) Scroll Number Scroll Date_x000a_N  0  ROSL NOT CLAIMED  ROSL NOT CLAIMED "/>
    <s v="GSTIN    -    07AXXXXXXXXB1ZR_x000a_Invoice Number Invoice Date IGST Paid(INR)_x000a_XXXXXXXXX-18  2017-12-30  5530 "/>
    <x v="251"/>
    <x v="0"/>
  </r>
  <r>
    <x v="0"/>
    <n v="1905542"/>
    <s v="2017/12/30"/>
    <s v="IEC CHA No. Job No. Job Date Port of Discharge Total Package Gross Weight (Kg) FOB(INR) Total Cess (INR) Drawback STR Total (DBK+STR) CIN NO. CIN DT. Reward Flag_x000a_0595012647  AAACC6689ECH001  8454665  30 DEC 2017 12:12  PKKHI  950  11875  4250832  0  63762  0  63762  N.A.  N.A.  Click here to view item wise reward details "/>
    <s v="Current Que LEO Date EP Copy Print Status DBK Scroll No Scroll Date EGM Integration Status_x000a_HIST  06 JAN 2018 00:01  Y  23643/2018  31 JAN 2018 00:01  Y "/>
    <s v="EGM No. EGM Date Container No. Seal No. Error Message_x000a_R557701201  2018-1-12 0.0.0.0  BMOU6247406  416849  N.A. "/>
    <s v="ROSL Availed Amount(INR) Scroll Number Scroll Date_x000a_N  0  ROSL NOT CLAIMED  ROSL NOT CLAIMED "/>
    <s v="GSTIN    -    07AXXXXXXXXB1ZR_x000a_Invoice Number Invoice Date IGST Paid(INR)_x000a_XXXXXXXXX-18  2017-12-27  4250 "/>
    <x v="25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n v="7096937"/>
    <s v="2017/07/01"/>
    <s v="IEC CHA No. Job No. Job Date Port of Discharge Total Package Gross Weight (Kg) FOB(INR) Total Cess (INR) Drawback STR Total (DBK+STR) CIN NO. CIN DT. Reward Flag_x000a_0597024561  AALFP3921GCH001  4320940  01 JUL 2017 12:07  USCHI  10  4135  1237814  0  24756  0  24756  N.A.  N.A.  Click here to view item wise reward details "/>
    <s v="Current Que LEO Date EP Copy Print Status DBK Scroll No Scroll Date EGM Integration Status_x000a_HIST  12 JUL 2017 00:07  Y  21243/2017  28 AUG 2017 00:08  Y "/>
    <s v="EGM No. EGM Date Container No. Seal No. Error Message_x000a_Z17061407  2017-7-14 0.0.0.0  OOCU6870924  394223  N.A. "/>
    <s v="ROSL Availed Amount(INR) Scroll Number Scroll Date_x000a_N  0  ROSL NOT CLAIMED  ROSL NOT CLAIMED "/>
    <x v="0"/>
    <s v="AWB No. Gateway Port Gateway EGM No. Gateway EGM Date Gateway Site ID Error Code_x000a_N.A.  INMUN1  137976  2017-11-01 00:00:00.0  INMUN1  S "/>
    <x v="0"/>
    <x v="0"/>
  </r>
  <r>
    <x v="0"/>
    <n v="7100605"/>
    <s v="2017/07/01"/>
    <s v="IEC CHA No. Job No. Job Date Port of Discharge Total Package Gross Weight (Kg) FOB(INR) Total Cess (INR) Drawback STR Total (DBK+STR) CIN NO. CIN DT. Reward Flag_x000a_0597024561  AALFP3921GCH001  4326197  01 JUL 2017 12:07  USCHI  4  786  356431.8  0  7129  0  7129  N.A.  N.A.  Click here to view item wise reward details "/>
    <s v="Current Que LEO Date EP Copy Print Status DBK Scroll No Scroll Date EGM Integration Status_x000a_HIST  04 JUL 2017 00:07  Y  21243/2017  28 AUG 2017 00:08  Y "/>
    <s v="EGM No. EGM Date Container No. Seal No. Error Message_x000a_R957660607  2017-7-6 0.0.0.0  TCNU3143079  393607  N.A. "/>
    <s v="ROSL Availed Amount(INR) Scroll Number Scroll Date_x000a_N  0  ROSL NOT CLAIMED  ROSL NOT CLAIMED "/>
    <x v="1"/>
    <s v="AWB No. Gateway Port Gateway EGM No. Gateway EGM Date Gateway Site ID Error Code_x000a_N.A.  INMUN1  131465  2017-07-14 00:00:00.0  INMUN1  S "/>
    <x v="0"/>
    <x v="0"/>
  </r>
  <r>
    <x v="0"/>
    <n v="7183827"/>
    <s v="2017/07/06"/>
    <s v="IEC CHA No. Job No. Job Date Port of Discharge Total Package Gross Weight (Kg) FOB(INR) Total Cess (INR) Drawback STR Total (DBK+STR) CIN NO. CIN DT. Reward Flag_x000a_0506074994  AMMPS0835PCH001  4432951  06 JUL 2017 12:07  SGSIN  212  9380.412  1068035.08  0  10638  0  10638  N.A.  N.A.  Click here to view item wise reward details "/>
    <s v="Current Que LEO Date EP Copy Print Status DBK Scroll No Scroll Date EGM Integration Status_x000a_HIST  07 JUL 2017 00:07  Y  21243/2017  28 AUG 2017 00:08  Y "/>
    <s v="EGM No. EGM Date Container No. Seal No. Error Message_x000a_R247461607  2017-7-16 0.0.0.0  SEGU6019208  394241  N.A. "/>
    <s v="ROSL Availed Amount(INR) Scroll Number Scroll Date_x000a_N  0  ROSL NOT CLAIMED  ROSL NOT CLAIMED "/>
    <x v="2"/>
    <s v="AWB No. Gateway Port Gateway EGM No. Gateway EGM Date Gateway Site ID Error Code_x000a_N.A.  INNSA1  N.A.  N.A.  N.A.  N.A. "/>
    <x v="0"/>
    <x v="1"/>
  </r>
  <r>
    <x v="0"/>
    <n v="7603758"/>
    <s v="2017/07/26"/>
    <s v="IEC CHA No. Job No. Job Date Port of Discharge Total Package Gross Weight (Kg) FOB(INR) Total Cess (INR) Drawback STR Total (DBK+STR) CIN NO. CIN DT. Reward Flag_x000a_0505023954  AACFL6638BCH001  4917548  26 JUL 2017 12:07  THLCH  9  1095  444373  0  0  0  0  N.A.  N.A.  Click here to view item wise reward details "/>
    <s v="Current Que LEO Date EP Copy Print Status DBK Scroll No Scroll Date EGM Integration Status_x000a_HIST  27 JUL 2017 00:07  R  N.A.  N.A.  Y "/>
    <s v="EGM No. EGM Date Container No. Seal No. Error Message_x000a_R1817100108  2017-8-1 0.0.0.0  NYKU3719229  386464  N.A. "/>
    <s v="ROSL Availed Amount(INR) Scroll Number Scroll Date_x000a_NULL  NULL  NULL  NULL "/>
    <x v="3"/>
    <s v="AWB No. Gateway Port Gateway EGM No. Gateway EGM Date Gateway Site ID Error Code_x000a_N.A.  INNSA1  N.A.  N.A.  N.A.  N.A. "/>
    <x v="1"/>
    <x v="0"/>
  </r>
  <r>
    <x v="0"/>
    <n v="7616933"/>
    <s v="2017/07/26"/>
    <s v="IEC CHA No. Job No. Job Date Port of Discharge Total Package Gross Weight (Kg) FOB(INR) Total Cess (INR) Drawback STR Total (DBK+STR) CIN NO. CIN DT. Reward Flag_x000a_0508003300  AHDPK8975CCH001  4932027  26 JUL 2017 12:07  NLRTM  10  3191  830072  0  16601  0  16601  N.A.  N.A.  Click here to view item wise reward details "/>
    <s v="Current Que LEO Date EP Copy Print Status DBK Scroll No Scroll Date EGM Integration Status_x000a_HIST  28 JUL 2017 00:07  Y  21484/2017  07 SEP 2017 00:09  Y "/>
    <s v="EGM No. EGM Date Container No. Seal No. Error Message_x000a_R237360308  2017-8-3 0.0.0.0  FCIU8411137  396483  N.A. "/>
    <s v="ROSL Availed Amount(INR) Scroll Number Scroll Date_x000a_N  0  ROSL NOT CLAIMED  ROSL NOT CLAIMED "/>
    <x v="4"/>
    <s v="AWB No. Gateway Port Gateway EGM No. Gateway EGM Date Gateway Site ID Error Code_x000a_N.A.  INNSA1  132025  2017-07-24 00:00:00.0  INNSA1  S "/>
    <x v="0"/>
    <x v="0"/>
  </r>
  <r>
    <x v="0"/>
    <n v="7623801"/>
    <s v="2017/07/27"/>
    <s v="IEC CHA No. Job No. Job Date Port of Discharge Total Package Gross Weight (Kg) FOB(INR) Total Cess (INR) Drawback STR Total (DBK+STR) CIN NO. CIN DT. Reward Flag_x000a_0596009488  ADFFS3281FCH001  4939510  27 JUL 2017 12:07  USOKD  1859  16630  8675968.81  0  94833  0  94833  N.A.  N.A.  Click here to view item wise reward details "/>
    <s v="Current Que LEO Date EP Copy Print Status DBK Scroll No Scroll Date EGM Integration Status_x000a_HIST  28 JUL 2017 00:07  Y  22528/2017  10 NOV 2017 00:11  Y "/>
    <s v="EGM No. EGM Date Container No. Seal No. Error Message_x000a_R857522807  2017-7-28 0.0.0.0  TCLU8863794  395965  N.A. "/>
    <s v="ROSL Availed Amount(INR) Scroll Number Scroll Date_x000a_N  0  ROSL NOT CLAIMED  ROSL NOT CLAIMED "/>
    <x v="5"/>
    <s v="AWB No. Gateway Port Gateway EGM No. Gateway EGM Date Gateway Site ID Error Code_x000a_N.A.  INMUN1  132702  2017-08-04 00:00:00.0  INMUN1  S "/>
    <x v="0"/>
    <x v="0"/>
  </r>
  <r>
    <x v="0"/>
    <n v="7638661"/>
    <s v="2017/07/27"/>
    <s v="IEC CHA No. Job No. Job Date Port of Discharge Total Package Gross Weight (Kg) FOB(INR) Total Cess (INR) Drawback STR Total (DBK+STR) CIN NO. CIN DT. Reward Flag_x000a_0506070484  AATPS3087NCH001  4955812  27 JUL 2017 12:07  VNSGN  26  5364.2  514985  0  0  0  0  N.A.  N.A.  Click here to view item wise reward details "/>
    <s v="Current Que LEO Date EP Copy Print Status DBK Scroll No Scroll Date EGM Integration Status_x000a_HIST  31 JUL 2017 00:07  Y  N.A.  N.A.  Y "/>
    <s v="EGM No. EGM Date Container No. Seal No. Error Message_x000a_J187520408  2017-8-4 0.0.0.0  BMOU2608183  397312  N.A. "/>
    <s v="ROSL Availed Amount(INR) Scroll Number Scroll Date_x000a_NULL  NULL  NULL  NULL "/>
    <x v="6"/>
    <s v="AWB No. Gateway Port Gateway EGM No. Gateway EGM Date Gateway Site ID Error Code_x000a_N.A.  INNSA1  N.A.  N.A.  N.A.  N.A. "/>
    <x v="1"/>
    <x v="2"/>
  </r>
  <r>
    <x v="0"/>
    <n v="7640213"/>
    <s v="2017/07/27"/>
    <s v="IEC CHA No. Job No. Job Date Port of Discharge Total Package Gross Weight (Kg) FOB(INR) Total Cess (INR) Drawback STR Total (DBK+STR) CIN NO. CIN DT. Reward Flag_x000a_0514019492  AABCS7195NCH001  4957545  27 JUL 2017 12:07  FIRAU  2  250  224989.94  0  902  0  902  N.A.  N.A.  Click here to view item wise reward details "/>
    <s v="Current Que LEO Date EP Copy Print Status DBK Scroll No Scroll Date EGM Integration Status_x000a_HIST  29 JUL 2017 00:07  Y  21484/2017  07 SEP 2017 00:09  Y "/>
    <s v="EGM No. EGM Date Container No. Seal No. Error Message_x000a_T757460308  2017-8-3 0.0.0.0  CBHU9524016  397314  N.A. "/>
    <s v="ROSL Availed Amount(INR) Scroll Number Scroll Date_x000a_N  0  ROSL NOT CLAIMED  ROSL NOT CLAIMED "/>
    <x v="7"/>
    <s v="AWB No. Gateway Port Gateway EGM No. Gateway EGM Date Gateway Site ID Error Code_x000a_N.A.  INMUN1  134053  2017-08-28 00:00:00.0  INMUN1  ST "/>
    <x v="0"/>
    <x v="0"/>
  </r>
  <r>
    <x v="0"/>
    <n v="7641404"/>
    <s v="2017/07/27"/>
    <s v="IEC CHA No. Job No. Job Date Port of Discharge Total Package Gross Weight (Kg) FOB(INR) Total Cess (INR) Drawback STR Total (DBK+STR) CIN NO. CIN DT. Reward Flag_x000a_0508003300  AHDPK8975CCH001  4958843  27 JUL 2017 12:07  SGSIN  6  2187  444246  0  8885  0  8885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x v="8"/>
    <s v="AWB No. Gateway Port Gateway EGM No. Gateway EGM Date Gateway Site ID Error Code_x000a_N.A.  INNSA1  131685  2017-07-18 00:00:00.0  INNSA1  S "/>
    <x v="0"/>
    <x v="0"/>
  </r>
  <r>
    <x v="0"/>
    <n v="7641415"/>
    <s v="2017/07/27"/>
    <s v="IEC CHA No. Job No. Job Date Port of Discharge Total Package Gross Weight (Kg) FOB(INR) Total Cess (INR) Drawback STR Total (DBK+STR) CIN NO. CIN DT. Reward Flag_x000a_0508003300  AHDPK8975CCH001  4958864  27 JUL 2017 12:07  SGSIN  38  18164  3836670  0  76733  0  76733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x v="9"/>
    <s v="AWB No. Gateway Port Gateway EGM No. Gateway EGM Date Gateway Site ID Error Code_x000a_N.A.  INNSA1  131685  2017-07-18 00:00:00.0  INNSA1  S "/>
    <x v="0"/>
    <x v="0"/>
  </r>
  <r>
    <x v="0"/>
    <n v="7642279"/>
    <s v="2017/07/27"/>
    <s v="IEC CHA No. Job No. Job Date Port of Discharge Total Package Gross Weight (Kg) FOB(INR) Total Cess (INR) Drawback STR Total (DBK+STR) CIN NO. CIN DT. Reward Flag_x000a_0508003300  AHDPK8975CCH001  4959794  27 JUL 2017 12:07  SGSIN  45  24734  7984172.5  0  159683  0  159683  N.A.  N.A.  Click here to view item wise reward details "/>
    <s v="Current Que LEO Date EP Copy Print Status DBK Scroll No Scroll Date EGM Integration Status_x000a_HIST  29 JUL 2017 00:07  Y  21484/2017  07 SEP 2017 00:09  Y "/>
    <s v="EGM No. EGM Date Container No. Seal No. Error Message_x000a_R777360308  2017-8-3 0.0.0.0  NYKU4725340  396275  N.A. "/>
    <s v="ROSL Availed Amount(INR) Scroll Number Scroll Date_x000a_N  0  ROSL NOT CLAIMED  ROSL NOT CLAIMED "/>
    <x v="10"/>
    <s v="AWB No. Gateway Port Gateway EGM No. Gateway EGM Date Gateway Site ID Error Code_x000a_N.A.  INNSA1  131685  2017-07-18 00:00:00.0  INNSA1  S "/>
    <x v="0"/>
    <x v="0"/>
  </r>
  <r>
    <x v="0"/>
    <n v="7646561"/>
    <s v="2017/07/28"/>
    <s v="IEC CHA No. Job No. Job Date Port of Discharge Total Package Gross Weight (Kg) FOB(INR) Total Cess (INR) Drawback STR Total (DBK+STR) CIN NO. CIN DT. Reward Flag_x000a_0513056661  AHEPG6607LCH001  4964475  28 JUL 2017 12:07  ALDRZ  194  9553.6  1221257.4  0  52787  0  52787  N.A.  N.A.  Click here to view item wise reward details "/>
    <s v="Current Que LEO Date EP Copy Print Status DBK Scroll No Scroll Date EGM Integration Status_x000a_HIST  31 JUL 2017 00:07  Y  22032/2017  06 OCT 2017 00:10  Y "/>
    <s v="EGM No. EGM Date Container No. Seal No. Error Message_x000a_J187520408  2017-8-4 0.0.0.0  IPXU3207943  397043  N.A. "/>
    <s v="ROSL Availed Amount(INR) Scroll Number Scroll Date_x000a_N  0  ROSL NOT CLAIMED  ROSL NOT CLAIMED "/>
    <x v="11"/>
    <s v="AWB No. Gateway Port Gateway EGM No. Gateway EGM Date Gateway Site ID Error Code_x000a_N.A.  INNSA1  132025  2017-07-24 00:00:00.0  INNSA1  S "/>
    <x v="0"/>
    <x v="0"/>
  </r>
  <r>
    <x v="0"/>
    <n v="7649257"/>
    <s v="2017/07/28"/>
    <s v="IEC CHA No. Job No. Job Date Port of Discharge Total Package Gross Weight (Kg) FOB(INR) Total Cess (INR) Drawback STR Total (DBK+STR) CIN NO. CIN DT. Reward Flag_x000a_0593058577  ADWPT4152FCH001  4967401  28 JUL 2017 12:07  BEANR  8  7650  1567732  0  31355  0  31355  N.A.  N.A.  Click here to view item wise reward details "/>
    <s v="Current Que LEO Date EP Copy Print Status DBK Scroll No Scroll Date EGM Integration Status_x000a_HIST  31 JUL 2017 00:07  Y  21484/2017  07 SEP 2017 00:09  Y "/>
    <s v="EGM No. EGM Date Container No. Seal No. Error Message_x000a_T967140708  2017-8-7 0.0.0.0  CRSU1370710  397366  N.A. "/>
    <s v="ROSL Availed Amount(INR) Scroll Number Scroll Date_x000a_N  0  ROSL NOT CLAIMED  ROSL NOT CLAIMED "/>
    <x v="12"/>
    <s v="AWB No. Gateway Port Gateway EGM No. Gateway EGM Date Gateway Site ID Error Code_x000a_N.A.  INNSA1  132025  2017-07-24 00:00:00.0  INNSA1  S "/>
    <x v="0"/>
    <x v="0"/>
  </r>
  <r>
    <x v="0"/>
    <n v="7662086"/>
    <s v="2017/07/28"/>
    <s v="IEC CHA No. Job No. Job Date Port of Discharge Total Package Gross Weight (Kg) FOB(INR) Total Cess (INR) Drawback STR Total (DBK+STR) CIN NO. CIN DT. Reward Flag_x000a_0516929674  AAJPA1764ECH001  4981455  28 JUL 2017 12:07  AEJEA  1105  12723  3580704.04  0  53711  0  53711  N.A.  N.A.  Click here to view item wise reward details "/>
    <s v="Current Que LEO Date EP Copy Print Status DBK Scroll No Scroll Date EGM Integration Status_x000a_HIST  02 AUG 2017 00:08  Y  21484/2017  07 SEP 2017 00:09  Y "/>
    <s v="EGM No. EGM Date Container No. Seal No. Error Message_x000a_R627900608  2017-8-6 0.0.0.0  ESPU8041896  397273  N.A. "/>
    <s v="ROSL Availed Amount(INR) Scroll Number Scroll Date_x000a_N  0  ROSL NOT CLAIMED  ROSL NOT CLAIMED "/>
    <x v="13"/>
    <s v="AWB No. Gateway Port Gateway EGM No. Gateway EGM Date Gateway Site ID Error Code_x000a_N.A.  INNSA1  132629  2017-08-03 00:00:00.0  INNSA1  S "/>
    <x v="0"/>
    <x v="0"/>
  </r>
  <r>
    <x v="0"/>
    <n v="7690771"/>
    <s v="2017/07/29"/>
    <s v="IEC CHA No. Job No. Job Date Port of Discharge Total Package Gross Weight (Kg) FOB(INR) Total Cess (INR) Drawback STR Total (DBK+STR) CIN NO. CIN DT. Reward Flag_x000a_0506046231  ADFFS3281FCH001  5012821  29 JUL 2017 12:07  GBTEE  22  22672  1792796.58  0  26892  0  26892  N.A.  N.A.  Click here to view item wise reward details "/>
    <s v="Current Que LEO Date EP Copy Print Status DBK Scroll No Scroll Date EGM Integration Status_x000a_HIST  01 AUG 2017 00:08  Y  29620/2018  13 SEP 2018 00:09  Y "/>
    <s v="EGM No. EGM Date Container No. Seal No. Error Message_x000a_J187520408  2017-8-4 0.0.0.0  TCNU8236209  009265  N.A. "/>
    <s v="ROSL Availed Amount(INR) Scroll Number Scroll Date_x000a_N  0  ROSL NOT CLAIMED  ROSL NOT CLAIMED "/>
    <x v="14"/>
    <s v="AWB No. Gateway Port Gateway EGM No. Gateway EGM Date Gateway Site ID Error Code_x000a_N.A.  INNSA1  132146  2017-07-26 00:00:00.0  INNSA1  S "/>
    <x v="0"/>
    <x v="3"/>
  </r>
  <r>
    <x v="0"/>
    <n v="7692707"/>
    <s v="2017/07/29"/>
    <s v="IEC CHA No. Job No. Job Date Port of Discharge Total Package Gross Weight (Kg) FOB(INR) Total Cess (INR) Drawback STR Total (DBK+STR) CIN NO. CIN DT. Reward Flag_x000a_0591026007  AHDPK8975CCH001  5014940  29 JUL 2017 12:07  USCHI  11  6695.87  876541.3  0  17199  0  17199  N.A.  N.A.  Click here to view item wise reward details "/>
    <s v="Current Que LEO Date EP Copy Print Status DBK Scroll No Scroll Date EGM Integration Status_x000a_HIST  04 AUG 2017 00:08  Y  21593/2017  12 SEP 2017 00:09  Y "/>
    <s v="EGM No. EGM Date Container No. Seal No. Error Message_x000a_R187761108  2017-8-11 0.0.0.0  IALU2255050  398038  N.A. "/>
    <s v="ROSL Availed Amount(INR) Scroll Number Scroll Date_x000a_N  0  ROSL NOT CLAIMED  ROSL NOT CLAIMED "/>
    <x v="15"/>
    <s v="AWB No. Gateway Port Gateway EGM No. Gateway EGM Date Gateway Site ID Error Code_x000a_N.A.  INNSA1  132431  2017-07-31 00:00:00.0  INNSA1  S "/>
    <x v="0"/>
    <x v="0"/>
  </r>
  <r>
    <x v="0"/>
    <n v="7703453"/>
    <s v="2017/07/31"/>
    <s v="IEC CHA No. Job No. Job Date Port of Discharge Total Package Gross Weight (Kg) FOB(INR) Total Cess (INR) Drawback STR Total (DBK+STR) CIN NO. CIN DT. Reward Flag_x000a_0500016143  AEAPD9155RCH001  5026572  31 JUL 2017 12:07  DEHAM  78  1938  477658.43  0  6592  0  6592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5984802  398012  N.A. "/>
    <s v="ROSL Availed Amount(INR) Scroll Number Scroll Date_x000a_N  0  ROSL NOT CLAIMED  ROSL NOT CLAIMED "/>
    <x v="16"/>
    <s v="AWB No. Gateway Port Gateway EGM No. Gateway EGM Date Gateway Site ID Error Code_x000a_N.A.  INNSA1  N.A.  N.A.  N.A.  N.A. "/>
    <x v="0"/>
    <x v="0"/>
  </r>
  <r>
    <x v="0"/>
    <n v="7712075"/>
    <s v="2017/07/31"/>
    <s v="IEC CHA No. Job No. Job Date Port of Discharge Total Package Gross Weight (Kg) FOB(INR) Total Cess (INR) Drawback STR Total (DBK+STR) CIN NO. CIN DT. Reward Flag_x000a_1308012381  AADCS9253MCH002  5035989  31 JUL 2017 12:07  DEHAM  72  6232  7004230.27  0  140085  0  140085  N.A.  N.A.  Click here to view item wise reward details "/>
    <s v="Current Que LEO Date EP Copy Print Status DBK Scroll No Scroll Date EGM Integration Status_x000a_HIST  02 AUG 2017 00:08  Y  21484/2017  07 SEP 2017 00:09  Y "/>
    <s v="EGM No. EGM Date Container No. Seal No. Error Message_x000a_T857300308  2017-8-3 0.0.0.0  FCIU2829217  014230  N.A. "/>
    <s v="ROSL Availed Amount(INR) Scroll Number Scroll Date_x000a_N  0  ROSL NOT CLAIMED  ROSL NOT CLAIMED "/>
    <x v="17"/>
    <s v="AWB No. Gateway Port Gateway EGM No. Gateway EGM Date Gateway Site ID Error Code_x000a_N.A.  INMUN1  134637  2017-09-06 00:00:00.0  INMUN1  S "/>
    <x v="0"/>
    <x v="0"/>
  </r>
  <r>
    <x v="0"/>
    <n v="7718281"/>
    <s v="2017/07/31"/>
    <s v="IEC CHA No. Job No. Job Date Port of Discharge Total Package Gross Weight (Kg) FOB(INR) Total Cess (INR) Drawback STR Total (DBK+STR) CIN NO. CIN DT. Reward Flag_x000a_0588055964  AAICS8856RCH001  5042770  31 JUL 2017 12:07  AUMEL  1  87  196215  0  3924  0  3924  N.A.  N.A.  Click here to view item wise reward details "/>
    <s v="Current Que LEO Date EP Copy Print Status DBK Scroll No Scroll Date EGM Integration Status_x000a_HIST  02 AUG 2017 00:08  Y  21593/2017  12 SEP 2017 00:09  Y "/>
    <s v="EGM No. EGM Date Container No. Seal No. Error Message_x000a_R757581008  2017-8-10 0.0.0.0  VSTU9000189  398018  N.A. "/>
    <s v="ROSL Availed Amount(INR) Scroll Number Scroll Date_x000a_N  0  ROSL NOT CLAIMED  ROSL NOT CLAIMED "/>
    <x v="18"/>
    <s v="AWB No. Gateway Port Gateway EGM No. Gateway EGM Date Gateway Site ID Error Code_x000a_N.A.  INNSA1  133033  2017-08-10 00:00:00.0  INNSA1  C "/>
    <x v="0"/>
    <x v="0"/>
  </r>
  <r>
    <x v="0"/>
    <n v="7721241"/>
    <s v="2017/07/31"/>
    <s v="IEC CHA No. Job No. Job Date Port of Discharge Total Package Gross Weight (Kg) FOB(INR) Total Cess (INR) Drawback STR Total (DBK+STR) CIN NO. CIN DT. Reward Flag_x000a_3306001678  AMEPS4194BCH001  5046037  31 JUL 2017 12:07  GBFXT  23  13328  6578725.36  0  28470  0  28470  N.A.  N.A.  Click here to view item wise reward details "/>
    <s v="Current Que LEO Date EP Copy Print Status DBK Scroll No Scroll Date EGM Integration Status_x000a_HIST  04 AUG 2017 00:08  Y  21484/2017  07 SEP 2017 00:09  Y "/>
    <s v="EGM No. EGM Date Container No. Seal No. Error Message_x000a_R627900608  2017-8-6 0.0.0.0  TCLU5214235  397616  N.A. "/>
    <s v="ROSL Availed Amount(INR) Scroll Number Scroll Date_x000a_N  0  ROSL NOT CLAIMED  ROSL NOT CLAIMED "/>
    <x v="19"/>
    <s v="Please Wait...."/>
    <x v="0"/>
    <x v="4"/>
  </r>
  <r>
    <x v="0"/>
    <n v="7742310"/>
    <s v="2017/08/01"/>
    <s v="IEC CHA No. Job No. Job Date Port of Discharge Total Package Gross Weight (Kg) FOB(INR) Total Cess (INR) Drawback STR Total (DBK+STR) CIN NO. CIN DT. Reward Flag_x000a_0517528762  AHFPR4981HCH001  5068904  01 AUG 2017 12:08  KWKWI  97  2782.53  3348526.5  0  254777  0  254777  N.A.  N.A.  Click here to view item wise reward details "/>
    <s v="Current Que LEO Date EP Copy Print Status DBK Scroll No Scroll Date EGM Integration Status_x000a_HIST  03 AUG 2017 00:08  Y  21652/2017  14 SEP 2017 00:09  Y "/>
    <s v="EGM No. EGM Date Container No. Seal No. Error Message_x000a_R467841108  2017-8-11 0.0.0.0  PCIU8208557  398061  N.A. "/>
    <s v="ROSL Availed Amount(INR) Scroll Number Scroll Date_x000a_Y  109868  25635/2017  2017-9-15 0.0.0.0 "/>
    <x v="20"/>
    <s v="AWB No. Gateway Port Gateway EGM No. Gateway EGM Date Gateway Site ID Error Code_x000a_N.A.  INNSA1  169501  2019-03-29 00:00:00.0  INNSA1  S "/>
    <x v="2"/>
    <x v="5"/>
  </r>
  <r>
    <x v="0"/>
    <n v="7747150"/>
    <s v="2017/08/01"/>
    <s v="IEC CHA No. Job No. Job Date Port of Discharge Total Package Gross Weight (Kg) FOB(INR) Total Cess (INR) Drawback STR Total (DBK+STR) CIN NO. CIN DT. Reward Flag_x000a_0509037844  AGYPS4804QCH001  5074148  01 AUG 2017 12:08  AUSYD  1  140  140970  0  8459  0  8459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4903350  398031  N.A. "/>
    <s v="ROSL Availed Amount(INR) Scroll Number Scroll Date_x000a_N  0  ROSL NOT CLAIMED  ROSL NOT CLAIMED "/>
    <x v="21"/>
    <s v="AWB No. Gateway Port Gateway EGM No. Gateway EGM Date Gateway Site ID Error Code_x000a_N.A.  INNSA1  132812  2017-08-07 00:00:00.0  INNSA1  C "/>
    <x v="0"/>
    <x v="0"/>
  </r>
  <r>
    <x v="0"/>
    <n v="7751210"/>
    <s v="2017/08/01"/>
    <s v="IEC CHA No. Job No. Job Date Port of Discharge Total Package Gross Weight (Kg) FOB(INR) Total Cess (INR) Drawback STR Total (DBK+STR) CIN NO. CIN DT. Reward Flag_x000a_0596061315  AABCC8115GCH002  5078635  01 AUG 2017 12:08  AEJEA  181  2440  740254.43  0  30293  0  30293  N.A.  N.A.  Click here to view item wise reward details "/>
    <s v="Current Que LEO Date EP Copy Print Status DBK Scroll No Scroll Date EGM Integration Status_x000a_HIST  04 AUG 2017 00:08  Y  21593/2017  12 SEP 2017 00:09  Y "/>
    <s v="EGM No. EGM Date Container No. Seal No. Error Message_x000a_T587961208  2017-8-12 0.0.0.0  VMLU3602131  398041  N.A. "/>
    <s v="ROSL Availed Amount(INR) Scroll Number Scroll Date_x000a_N  0  ROSL NOT CLAIMED  ROSL NOT CLAIMED "/>
    <x v="22"/>
    <s v="AWB No. Gateway Port Gateway EGM No. Gateway EGM Date Gateway Site ID Error Code_x000a_N.A.  INNSA1  N.A.  N.A.  N.A.  N.A. "/>
    <x v="0"/>
    <x v="6"/>
  </r>
  <r>
    <x v="0"/>
    <n v="7759192"/>
    <s v="2017/08/02"/>
    <s v="IEC CHA No. Job No. Job Date Port of Discharge Total Package Gross Weight (Kg) FOB(INR) Total Cess (INR) Drawback STR Total (DBK+STR) CIN NO. CIN DT. Reward Flag_x000a_0598005498  AANCS5422NCH004  5087233  02 AUG 2017 12:08  MACAS  220  3609.59  452450.2  0  7418  0  7418  N.A.  N.A.  Click here to view item wise reward details "/>
    <s v="Current Que LEO Date EP Copy Print Status DBK Scroll No Scroll Date EGM Integration Status_x000a_HIST  10 AUG 2017 00:08  Y  21593/2017  12 SEP 2017 00:09  Y "/>
    <s v="EGM No. EGM Date Container No. Seal No. Error Message_x000a_T857661708  2017-8-17 0.0.0.0  MRKU7285779  398326  N.A. "/>
    <s v="ROSL Availed Amount(INR) Scroll Number Scroll Date_x000a_N  0  ROSL NOT CLAIMED  ROSL NOT CLAIMED "/>
    <x v="23"/>
    <s v="AWB No. Gateway Port Gateway EGM No. Gateway EGM Date Gateway Site ID Error Code_x000a_N.A.  INPAV1  132210  2017-07-26 00:00:00.0  INPAV1  S "/>
    <x v="0"/>
    <x v="0"/>
  </r>
  <r>
    <x v="0"/>
    <n v="7764000"/>
    <s v="2017/08/02"/>
    <s v="IEC CHA No. Job No. Job Date Port of Discharge Total Package Gross Weight (Kg) FOB(INR) Total Cess (INR) Drawback STR Total (DBK+STR) CIN NO. CIN DT. Reward Flag_x000a_0596009488  ADFFS3281FCH001  5092423  02 AUG 2017 12:08  ITSPE  1004  7676.556  6205570.52  0  55644  0  55644  N.A.  N.A.  Click here to view item wise reward details "/>
    <s v="Current Que LEO Date EP Copy Print Status DBK Scroll No Scroll Date EGM Integration Status_x000a_HIST  03 AUG 2017 00:08  Y  21652/2017  14 SEP 2017 00:09  Y "/>
    <s v="EGM No. EGM Date Container No. Seal No. Error Message_x000a_T887020608  2017-8-6 0.0.0.0  CSLU2276080  396967  N.A. "/>
    <s v="ROSL Availed Amount(INR) Scroll Number Scroll Date_x000a_N  0  ROSL NOT CLAIMED  ROSL NOT CLAIMED "/>
    <x v="24"/>
    <s v="AWB No. Gateway Port Gateway EGM No. Gateway EGM Date Gateway Site ID Error Code_x000a_N.A.  INNSA1  132737  2017-08-04 00:00:00.0  INNSA1  S "/>
    <x v="0"/>
    <x v="0"/>
  </r>
  <r>
    <x v="0"/>
    <n v="7764312"/>
    <s v="2017/08/02"/>
    <s v="IEC CHA No. Job No. Job Date Port of Discharge Total Package Gross Weight (Kg) FOB(INR) Total Cess (INR) Drawback STR Total (DBK+STR) CIN NO. CIN DT. Reward Flag_x000a_0596009488  ADFFS3281FCH001  5092762  02 AUG 2017 12:08  ITSPE  1346  14240  9617899.87  0  91490  0  91490  N.A.  N.A.  Click here to view item wise reward details "/>
    <s v="Current Que LEO Date EP Copy Print Status DBK Scroll No Scroll Date EGM Integration Status_x000a_HIST  03 AUG 2017 00:08  Y  21484/2017  07 SEP 2017 00:09  Y "/>
    <s v="EGM No. EGM Date Container No. Seal No. Error Message_x000a_T887020608  2017-8-6 0.0.0.0  CCLU5302047  396980  N.A. "/>
    <s v="ROSL Availed Amount(INR) Scroll Number Scroll Date_x000a_N  0  ROSL NOT CLAIMED  ROSL NOT CLAIMED "/>
    <x v="25"/>
    <s v="AWB No. Gateway Port Gateway EGM No. Gateway EGM Date Gateway Site ID Error Code_x000a_N.A.  INNSA1  132731  2017-08-04 00:00:00.0  INNSA1  S "/>
    <x v="0"/>
    <x v="0"/>
  </r>
  <r>
    <x v="0"/>
    <n v="7772989"/>
    <s v="2017/08/02"/>
    <s v="IEC CHA No. Job No. Job Date Port of Discharge Total Package Gross Weight (Kg) FOB(INR) Total Cess (INR) Drawback STR Total (DBK+STR) CIN NO. CIN DT. Reward Flag_x000a_0609003542  AOFPS8466PCH001  5102223  02 AUG 2017 12:08  AUSYD  162  2999  782675.6  0  11740  0  11740  N.A.  N.A.  Click here to view item wise reward details "/>
    <s v="Current Que LEO Date EP Copy Print Status DBK Scroll No Scroll Date EGM Integration Status_x000a_HIST  11 AUG 2017 00:08  Y  21593/2017  12 SEP 2017 00:09  Y "/>
    <s v="EGM No. EGM Date Container No. Seal No. Error Message_x000a_R797122008  2017-8-20 0.0.0.0  RFSU2002442  398692  N.A. "/>
    <s v="ROSL Availed Amount(INR) Scroll Number Scroll Date_x000a_N  0  ROSL NOT CLAIMED  ROSL NOT CLAIMED "/>
    <x v="26"/>
    <s v="AWB No. Gateway Port Gateway EGM No. Gateway EGM Date Gateway Site ID Error Code_x000a_N.A.  INNSA1  133243  2017-08-14 00:00:00.0  INNSA1  C "/>
    <x v="0"/>
    <x v="7"/>
  </r>
  <r>
    <x v="0"/>
    <n v="7774110"/>
    <s v="2017/08/02"/>
    <s v="IEC CHA No. Job No. Job Date Port of Discharge Total Package Gross Weight (Kg) FOB(INR) Total Cess (INR) Drawback STR Total (DBK+STR) CIN NO. CIN DT. Reward Flag_x000a_0510011683  AACFS5709ACH001  5103496  02 AUG 2017 12:08  GBSOU  18  432  62871.2  0  0  0  0  N.A.  N.A.  Click here to view item wise reward details "/>
    <s v="Current Que LEO Date EP Copy Print Status DBK Scroll No Scroll Date EGM Integration Status_x000a_HIST  10 AUG 2017 00:08  Y  N.A.  N.A.  Y "/>
    <s v="EGM No. EGM Date Container No. Seal No. Error Message_x000a_T757422208  2017-8-22 0.0.0.0  MSKU5798590  399514  N.A. "/>
    <s v="ROSL Availed Amount(INR) Scroll Number Scroll Date_x000a_NULL  NULL  NULL  NULL "/>
    <x v="27"/>
    <s v="AWB No. Gateway Port Gateway EGM No. Gateway EGM Date Gateway Site ID Error Code_x000a_N.A.  INMUN1  134015  2017-08-28 00:00:00.0  INMUN1  S "/>
    <x v="1"/>
    <x v="0"/>
  </r>
  <r>
    <x v="0"/>
    <n v="7778178"/>
    <s v="2017/08/02"/>
    <s v="IEC CHA No. Job No. Job Date Port of Discharge Total Package Gross Weight (Kg) FOB(INR) Total Cess (INR) Drawback STR Total (DBK+STR) CIN NO. CIN DT. Reward Flag_x000a_0510056601  AARPM0995PCH001  5107926  02 AUG 2017 12:08  THLCH  1  880  625475  0  3320  0  3320  N.A.  N.A.  Click here to view item wise reward details "/>
    <s v="Current Que LEO Date EP Copy Print Status DBK Scroll No Scroll Date EGM Integration Status_x000a_HIST  04 AUG 2017 00:08  Y  21593/2017  12 SEP 2017 00:09  Y "/>
    <s v="EGM No. EGM Date Container No. Seal No. Error Message_x000a_R757581008  2017-8-10 0.0.0.0  TCKU9945570  397386  N.A. "/>
    <s v="ROSL Availed Amount(INR) Scroll Number Scroll Date_x000a_N  0  ROSL NOT CLAIMED  ROSL NOT CLAIMED "/>
    <x v="28"/>
    <s v="AWB No. Gateway Port Gateway EGM No. Gateway EGM Date Gateway Site ID Error Code_x000a_N.A.  INNSA1  N.A.  N.A.  N.A.  N.A. "/>
    <x v="0"/>
    <x v="0"/>
  </r>
  <r>
    <x v="0"/>
    <n v="7782282"/>
    <s v="2017/08/02"/>
    <s v="IEC CHA No. Job No. Job Date Port of Discharge Total Package Gross Weight (Kg) FOB(INR) Total Cess (INR) Drawback STR Total (DBK+STR) CIN NO. CIN DT. Reward Flag_x000a_0502021373  AAHCR2213ACH001  5112426  02 AUG 2017 12:08  CAMTR  8  80.465  483006.4  0  7245  0  7245  N.A.  N.A.  Click here to view item wise reward details "/>
    <s v="Current Que LEO Date EP Copy Print Status DBK Scroll No Scroll Date EGM Integration Status_x000a_HIST  05 AUG 2017 00:08  Y  21593/2017  12 SEP 2017 00:09  Y "/>
    <s v="EGM No. EGM Date Container No. Seal No. Error Message_x000a_R847681008  2017-8-10 0.0.0.0  THLU2130227  398013  N.A. "/>
    <s v="ROSL Availed Amount(INR) Scroll Number Scroll Date_x000a_N  0  ROSL NOT CLAIMED  ROSL NOT CLAIMED "/>
    <x v="29"/>
    <s v="AWB No. Gateway Port Gateway EGM No. Gateway EGM Date Gateway Site ID Error Code_x000a_N.A.  INNSA1  132481  2017-07-31 00:00:00.0  INNSA1  C "/>
    <x v="0"/>
    <x v="8"/>
  </r>
  <r>
    <x v="0"/>
    <n v="7791798"/>
    <s v="2017/08/03"/>
    <s v="IEC CHA No. Job No. Job Date Port of Discharge Total Package Gross Weight (Kg) FOB(INR) Total Cess (INR) Drawback STR Total (DBK+STR) CIN NO. CIN DT. Reward Flag_x000a_0507051360  AAAFJ1721HCH058  5122783  03 AUG 2017 12:08  THBKK  1  150  189503.05  0  3790  0  3790  N.A.  N.A.  Click here to view item wise reward details "/>
    <s v="Current Que LEO Date EP Copy Print Status DBK Scroll No Scroll Date EGM Integration Status_x000a_HIST  05 AUG 2017 00:08  Y  21593/2017  12 SEP 2017 00:09  Y "/>
    <s v="EGM No. EGM Date Container No. Seal No. Error Message_x000a_T587961208  2017-8-12 0.0.0.0  ZCSU2559071  398088  N.A. "/>
    <s v="ROSL Availed Amount(INR) Scroll Number Scroll Date_x000a_N  0  ROSL NOT CLAIMED  ROSL NOT CLAIMED "/>
    <x v="30"/>
    <s v="AWB No. Gateway Port Gateway EGM No. Gateway EGM Date Gateway Site ID Error Code_x000a_N.A.  INNSA1  133033  2017-08-10 00:00:00.0  INNSA1  S "/>
    <x v="0"/>
    <x v="0"/>
  </r>
  <r>
    <x v="0"/>
    <n v="7794172"/>
    <s v="2017/08/03"/>
    <s v="IEC CHA No. Job No. Job Date Port of Discharge Total Package Gross Weight (Kg) FOB(INR) Total Cess (INR) Drawback STR Total (DBK+STR) CIN NO. CIN DT. Reward Flag_x000a_0515042064  AFYPK1878FCH001  5125414  03 AUG 2017 12:08  HUBUD  60  725.8  365633  0  3182  0  3182  N.A.  N.A.  Click here to view item wise reward details "/>
    <s v="Current Que LEO Date EP Copy Print Status DBK Scroll No Scroll Date EGM Integration Status_x000a_HIST  08 AUG 2017 00:08  Y  21652/2017  14 SEP 2017 00:09  Y "/>
    <s v="EGM No. EGM Date Container No. Seal No. Error Message_x000a_R347041908  2017-8-19 0.0.0.0  TCNU4953686  398681  N.A. "/>
    <s v="ROSL Availed Amount(INR) Scroll Number Scroll Date_x000a_N  0  ROSL NOT CLAIMED  ROSL NOT CLAIMED "/>
    <x v="31"/>
    <s v="AWB No. Gateway Port Gateway EGM No. Gateway EGM Date Gateway Site ID Error Code_x000a_N.A.  INNSA1  132991  2017-08-09 00:00:00.0  INNSA1  S "/>
    <x v="0"/>
    <x v="9"/>
  </r>
  <r>
    <x v="0"/>
    <n v="7795473"/>
    <s v="2017/08/03"/>
    <s v="IEC CHA No. Job No. Job Date Port of Discharge Total Package Gross Weight (Kg) FOB(INR) Total Cess (INR) Drawback STR Total (DBK+STR) CIN NO. CIN DT. Reward Flag_x000a_0592023052  AABCG4164HCH003  5126864  03 AUG 2017 12:08  RULED  30  14280  2553209.65  0  51064  0  51064  N.A.  N.A.  Click here to view item wise reward details "/>
    <s v="Current Que LEO Date EP Copy Print Status DBK Scroll No Scroll Date EGM Integration Status_x000a_HIST  05 AUG 2017 00:08  Y  21484/2017  07 SEP 2017 00:09  Y "/>
    <s v="EGM No. EGM Date Container No. Seal No. Error Message_x000a_T747880608  2017-8-6 0.0.0.0  MSKU8535597  015881  N.A. "/>
    <s v="ROSL Availed Amount(INR) Scroll Number Scroll Date_x000a_N  0  ROSL NOT CLAIMED  ROSL NOT CLAIMED "/>
    <x v="32"/>
    <s v="AWB No. Gateway Port Gateway EGM No. Gateway EGM Date Gateway Site ID Error Code_x000a_N.A.  INPAV1  132205  2017-07-26 00:00:00.0  INPAV1  S "/>
    <x v="0"/>
    <x v="10"/>
  </r>
  <r>
    <x v="0"/>
    <n v="7796181"/>
    <s v="2017/08/03"/>
    <s v="IEC CHA No. Job No. Job Date Port of Discharge Total Package Gross Weight (Kg) FOB(INR) Total Cess (INR) Drawback STR Total (DBK+STR) CIN NO. CIN DT. Reward Flag_x000a_0509007406  AUHPS0698FCH002  5127639  03 AUG 2017 12:08  AUSYD  29  310  557479.94  0  40907  0  40907  N.A.  N.A.  Click here to view item wise reward details "/>
    <s v="Current Que LEO Date EP Copy Print Status DBK Scroll No Scroll Date EGM Integration Status_x000a_HIST  08 AUG 2017 00:08  Y  21593/2017  12 SEP 2017 00:09  Y "/>
    <s v="EGM No. EGM Date Container No. Seal No. Error Message_x000a_R847681008  2017-8-10 0.0.0.0  THLU2130227  398013  N.A. "/>
    <s v="ROSL Availed Amount(INR) Scroll Number Scroll Date_x000a_Y  15758  25632/2017  2017-9-10 0.0.0.0 "/>
    <x v="33"/>
    <s v="AWB No. Gateway Port Gateway EGM No. Gateway EGM Date Gateway Site ID Error Code_x000a_N.A.  INNSA1  132812  2017-08-07 00:00:00.0  INNSA1  C "/>
    <x v="2"/>
    <x v="11"/>
  </r>
  <r>
    <x v="0"/>
    <n v="7800720"/>
    <s v="2017/08/03"/>
    <s v="IEC CHA No. Job No. Job Date Port of Discharge Total Package Gross Weight (Kg) FOB(INR) Total Cess (INR) Drawback STR Total (DBK+STR) CIN NO. CIN DT. Reward Flag_x000a_0502037547  AVAPS6694RCH001  5132614  03 AUG 2017 12:08  USNYC  1  247  274015.2  0  5480  0  5480  N.A.  N.A.  Click here to view item wise reward details "/>
    <s v="Current Que LEO Date EP Copy Print Status DBK Scroll No Scroll Date EGM Integration Status_x000a_HIST  08 AUG 2017 00:08  Y  21593/2017  12 SEP 2017 00:09  Y "/>
    <s v="EGM No. EGM Date Container No. Seal No. Error Message_x000a_R367241508  2017-8-15 0.0.0.0  TEMU7607563  398610  N.A. "/>
    <s v="ROSL Availed Amount(INR) Scroll Number Scroll Date_x000a_N  0  ROSL NOT CLAIMED  ROSL NOT CLAIMED "/>
    <x v="34"/>
    <s v="AWB No. Gateway Port Gateway EGM No. Gateway EGM Date Gateway Site ID Error Code_x000a_N.A.  INMUN1  160432  2018-10-31 00:00:00.0  INMUN1  S "/>
    <x v="0"/>
    <x v="0"/>
  </r>
  <r>
    <x v="0"/>
    <n v="7804407"/>
    <s v="2017/08/03"/>
    <s v="IEC CHA No. Job No. Job Date Port of Discharge Total Package Gross Weight (Kg) FOB(INR) Total Cess (INR) Drawback STR Total (DBK+STR) CIN NO. CIN DT. Reward Flag_x000a_0511034661  AABCC8115GCH002  5136673  03 AUG 2017 12:08  AEJEA  64  306  1002715.8  0  0  0  0  N.A.  N.A.  Click here to view item wise reward details "/>
    <s v="Current Que LEO Date EP Copy Print Status DBK Scroll No Scroll Date EGM Integration Status_x000a_HIST  05 AUG 2017 00:08  Y  N.A.  N.A.  Y "/>
    <s v="EGM No. EGM Date Container No. Seal No. Error Message_x000a_T587961208  2017-8-12 0.0.0.0  FCIU8449214  398049  N.A. "/>
    <s v="ROSL Availed Amount(INR) Scroll Number Scroll Date_x000a_NULL  NULL  NULL  NULL "/>
    <x v="35"/>
    <s v="AWB No. Gateway Port Gateway EGM No. Gateway EGM Date Gateway Site ID Error Code_x000a_N.A.  INNSA1  132332  2017-07-28 00:00:00.0  INNSA1  S "/>
    <x v="1"/>
    <x v="12"/>
  </r>
  <r>
    <x v="0"/>
    <n v="7812525"/>
    <s v="2017/08/04"/>
    <s v="IEC CHA No. Job No. Job Date Port of Discharge Total Package Gross Weight (Kg) FOB(INR) Total Cess (INR) Drawback STR Total (DBK+STR) CIN NO. CIN DT. Reward Flag_x000a_0513045228  AAICS8856RCH001  5145688  04 AUG 2017 12:08  LKCMB  123  815  1013422.31  0  5771  0  5771  N.A.  N.A.  Click here to view item wise reward details "/>
    <s v="Current Que LEO Date EP Copy Print Status DBK Scroll No Scroll Date EGM Integration Status_x000a_HIST  18 AUG 2017 00:08  Y  21593/2017  12 SEP 2017 00:09  Y "/>
    <s v="EGM No. EGM Date Container No. Seal No. Error Message_x000a_R957502308  2017-8-23 0.0.0.0  ZCSU6529476  399516  N.A. "/>
    <s v="ROSL Availed Amount(INR) Scroll Number Scroll Date_x000a_N  0  ROSL NOT CLAIMED  ROSL NOT CLAIMED "/>
    <x v="36"/>
    <s v="AWB No. Gateway Port Gateway EGM No. Gateway EGM Date Gateway Site ID Error Code_x000a_N.A.  INPAV1  133808  2017-08-24 00:00:00.0  INPAV1  S "/>
    <x v="0"/>
    <x v="0"/>
  </r>
  <r>
    <x v="0"/>
    <n v="7826835"/>
    <s v="2017/08/04"/>
    <s v="IEC CHA No. Job No. Job Date Port of Discharge Total Package Gross Weight (Kg) FOB(INR) Total Cess (INR) Drawback STR Total (DBK+STR) CIN NO. CIN DT. Reward Flag_x000a_0507068645  AABCT3664RCH001  5161689  04 AUG 2017 12:08  PHMNL  9  791  36091.61  0  722  0  722  N.A.  N.A.  Click here to view item wise reward details "/>
    <s v="Current Que LEO Date EP Copy Print Status DBK Scroll No Scroll Date EGM Integration Status_x000a_HIST  07 AUG 2017 00:08  Y  21593/2017  12 SEP 2017 00:09  Y "/>
    <s v="EGM No. EGM Date Container No. Seal No. Error Message_x000a_R467841108  2017-8-11 0.0.0.0  SIKU3077183  398074  N.A. "/>
    <s v="ROSL Availed Amount(INR) Scroll Number Scroll Date_x000a_N  0  ROSL NOT CLAIMED  ROSL NOT CLAIMED "/>
    <x v="37"/>
    <s v="AWB No. Gateway Port Gateway EGM No. Gateway EGM Date Gateway Site ID Error Code_x000a_N.A.  INNSA1  N.A.  N.A.  N.A.  N.A. "/>
    <x v="0"/>
    <x v="13"/>
  </r>
  <r>
    <x v="0"/>
    <n v="7835799"/>
    <s v="2017/08/05"/>
    <s v="IEC CHA No. Job No. Job Date Port of Discharge Total Package Gross Weight (Kg) FOB(INR) Total Cess (INR) Drawback STR Total (DBK+STR) CIN NO. CIN DT. Reward Flag_x000a_0592023052  AATPS3087NCH001  5171603  05 AUG 2017 12:08  CATIY  3  1117.58  264343.16  0  5287  0  5287  N.A.  N.A.  Click here to view item wise reward details "/>
    <s v="Current Que LEO Date EP Copy Print Status DBK Scroll No Scroll Date EGM Integration Status_x000a_HIST  08 AUG 2017 00:08  Y  21593/2017  12 SEP 2017 00:09  Y "/>
    <s v="EGM No. EGM Date Container No. Seal No. Error Message_x000a_R247281508  2017-8-15 0.0.0.0  CLHU8419145  398617  N.A. "/>
    <s v="ROSL Availed Amount(INR) Scroll Number Scroll Date_x000a_N  0  ROSL NOT CLAIMED  ROSL NOT CLAIMED "/>
    <x v="38"/>
    <s v="AWB No. Gateway Port Gateway EGM No. Gateway EGM Date Gateway Site ID Error Code_x000a_N.A.  INNSA1  N.A.  N.A.  N.A.  N.A. "/>
    <x v="0"/>
    <x v="0"/>
  </r>
  <r>
    <x v="0"/>
    <n v="7849871"/>
    <s v="2017/08/05"/>
    <s v="IEC CHA No. Job No. Job Date Port of Discharge Total Package Gross Weight (Kg) FOB(INR) Total Cess (INR) Drawback STR Total (DBK+STR) CIN NO. CIN DT. Reward Flag_x000a_0593056868  AAAFA8105CCH001  5187167  05 AUG 2017 12:08  DJJIB  487  27750.15  5034285  0  352400  0  352400  N.A.  N.A.  Click here to view item wise reward details "/>
    <s v="Current Que LEO Date EP Copy Print Status DBK Scroll No Scroll Date EGM Integration Status_x000a_HIST  09 AUG 2017 00:08  Y  21652/2017  14 SEP 2017 00:09  Y _x000a_Current Que LEO Date EP Copy Print Status DBK Scroll No Scroll Date EGM Integration Status_x000a_HIST  09 AUG 2017 00:08  Y  21652/2017  14 SEP 2017 00:09  Y "/>
    <s v="EGM No. EGM Date Container No. Seal No. Error Message_x000a_J167821108  2017-8-11 0.0.0.0  MRSU3359958  398193  N.A. "/>
    <s v="ROSL Availed Amount(INR) Scroll Number Scroll Date_x000a_N  0  ROSL NOT CLAIMED  ROSL NOT CLAIMED "/>
    <x v="39"/>
    <s v="AWB No. Gateway Port Gateway EGM No. Gateway EGM Date Gateway Site ID Error Code_x000a_N.A.  INMUN1  133184  2017-08-11 00:00:00.0  INMUN1  S "/>
    <x v="0"/>
    <x v="0"/>
  </r>
  <r>
    <x v="0"/>
    <n v="7852739"/>
    <s v="2017/08/05"/>
    <s v="IEC CHA No. Job No. Job Date Port of Discharge Total Package Gross Weight (Kg) FOB(INR) Total Cess (INR) Drawback STR Total (DBK+STR) CIN NO. CIN DT. Reward Flag_x000a_0500062609  ALGPK6363BCH001  5190319  05 AUG 2017 12:08  OMSOH  5  5210  894292.65  0  17886  0  17886  N.A.  N.A.  Click here to view item wise reward details "/>
    <s v="Current Que LEO Date EP Copy Print Status DBK Scroll No Scroll Date EGM Integration Status_x000a_HIST  10 AUG 2017 00:08  Y  21593/2017  12 SEP 2017 00:09  Y "/>
    <s v="EGM No. EGM Date Container No. Seal No. Error Message_x000a_R367241508  2017-8-15 0.0.0.0  BSIU9154848  398377  N.A. "/>
    <s v="ROSL Availed Amount(INR) Scroll Number Scroll Date_x000a_N  0  ROSL NOT CLAIMED  ROSL NOT CLAIMED "/>
    <x v="40"/>
    <s v="AWB No. Gateway Port Gateway EGM No. Gateway EGM Date Gateway Site ID Error Code_x000a_N.A.  INMUN1  133567  2017-08-18 00:00:00.0  INMUN1  S "/>
    <x v="0"/>
    <x v="14"/>
  </r>
  <r>
    <x v="0"/>
    <n v="7862536"/>
    <s v="2017/08/07"/>
    <s v="IEC CHA No. Job No. Job Date Port of Discharge Total Package Gross Weight (Kg) FOB(INR) Total Cess (INR) Drawback STR Total (DBK+STR) CIN NO. CIN DT. Reward Flag_x000a_0588050814  AFXPK5610ECH001  5200974  07 AUG 2017 12:08  JPTYO  2  56  37516.42  0  0  0  0  N.A.  N.A.  Click here to view item wise reward details "/>
    <s v="Current Que LEO Date EP Copy Print Status DBK Scroll No Scroll Date EGM Integration Status_x000a_HIST  10 AUG 2017 00:08  Y  N.A.  N.A.  Y "/>
    <s v="EGM No. EGM Date Container No. Seal No. Error Message_x000a_R467841108  2017-8-11 0.0.0.0  TCKU3614596  398071  N.A. "/>
    <s v="ROSL Availed Amount(INR) Scroll Number Scroll Date_x000a_NULL  NULL  NULL  NULL "/>
    <x v="41"/>
    <s v="AWB No. Gateway Port Gateway EGM No. Gateway EGM Date Gateway Site ID Error Code_x000a_N.A.  INNSA1  N.A.  N.A.  N.A.  N.A. "/>
    <x v="1"/>
    <x v="0"/>
  </r>
  <r>
    <x v="0"/>
    <n v="7877440"/>
    <s v="2017/08/08"/>
    <s v="IEC CHA No. Job No. Job Date Port of Discharge Total Package Gross Weight (Kg) FOB(INR) Total Cess (INR) Drawback STR Total (DBK+STR) CIN NO. CIN DT. Reward Flag_x000a_0515918024  AGYPS4804QCH001  5217366  08 AUG 2017 12:08  AEJEA  18  1064  789144.6  0  15468  0  1546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x v="42"/>
    <s v="AWB No. Gateway Port Gateway EGM No. Gateway EGM Date Gateway Site ID Error Code_x000a_N.A.  INMUN1  137180  2017-10-18 00:00:00.0  INMUN1  ST "/>
    <x v="0"/>
    <x v="15"/>
  </r>
  <r>
    <x v="0"/>
    <n v="7891039"/>
    <s v="2017/08/08"/>
    <s v="IEC CHA No. Job No. Job Date Port of Discharge Total Package Gross Weight (Kg) FOB(INR) Total Cess (INR) Drawback STR Total (DBK+STR) CIN NO. CIN DT. Reward Flag_x000a_0502077905  AHDPK8975CCH001  5232403  08 AUG 2017 12:08  MYWSP  7  5950  490858.5  0  5399  0  5399  N.A.  N.A.  Click here to view item wise reward details "/>
    <s v="Current Que LEO Date EP Copy Print Status DBK Scroll No Scroll Date EGM Integration Status_x000a_HIST  11 AUG 2017 00:08  Y  21652/2017  14 SEP 2017 00:09  Y "/>
    <s v="EGM No. EGM Date Container No. Seal No. Error Message_x000a_R347041908  2017-8-19 0.0.0.0  CCSU5653592  398689  N.A. "/>
    <s v="ROSL Availed Amount(INR) Scroll Number Scroll Date_x000a_N  0  ROSL NOT CLAIMED  ROSL NOT CLAIMED "/>
    <x v="43"/>
    <s v="AWB No. Gateway Port Gateway EGM No. Gateway EGM Date Gateway Site ID Error Code_x000a_N.A.  INNSA1  N.A.  N.A.  N.A.  N.A. "/>
    <x v="0"/>
    <x v="0"/>
  </r>
  <r>
    <x v="0"/>
    <n v="7891796"/>
    <s v="2017/08/08"/>
    <s v="IEC CHA No. Job No. Job Date Port of Discharge Total Package Gross Weight (Kg) FOB(INR) Total Cess (INR) Drawback STR Total (DBK+STR) CIN NO. CIN DT. Reward Flag_x000a_0506054306  ABBFA4018NCH001  5233244  08 AUG 2017 12:08  DEHAM  25  487  434843.44  0  33774  0  33774  N.A.  N.A.  Click here to view item wise reward details "/>
    <s v="Current Que LEO Date EP Copy Print Status DBK Scroll No Scroll Date EGM Integration Status_x000a_HIST  10 AUG 2017 00:08  Y  21593/2017  12 SEP 2017 00:09  Y "/>
    <s v="EGM No. EGM Date Container No. Seal No. Error Message_x000a_T847481608  2017-8-16 0.0.0.0  SUDU7507315  398620  N.A. "/>
    <s v="ROSL Availed Amount(INR) Scroll Number Scroll Date_x000a_N  0  ROSL NOT CLAIMED  ROSL NOT CLAIMED "/>
    <x v="44"/>
    <s v="AWB No. Gateway Port Gateway EGM No. Gateway EGM Date Gateway Site ID Error Code_x000a_N.A.  INMUN1  133566  2017-08-18 00:00:00.0  INMUN1  S "/>
    <x v="0"/>
    <x v="16"/>
  </r>
  <r>
    <x v="0"/>
    <n v="7903729"/>
    <s v="2017/08/09"/>
    <s v="IEC CHA No. Job No. Job Date Port of Discharge Total Package Gross Weight (Kg) FOB(INR) Total Cess (INR) Drawback STR Total (DBK+STR) CIN NO. CIN DT. Reward Flag_x000a_0500042616  AJEPK5545PCH001  5246395  09 AUG 2017 12:08  IEDUB  3  124.8  121267.13  0  2425  0  2425  N.A.  N.A.  Click here to view item wise reward details "/>
    <s v="Current Que LEO Date EP Copy Print Status DBK Scroll No Scroll Date EGM Integration Status_x000a_HIST  10 AUG 2017 00:08  Y  21652/2017  14 SEP 2017 00:09  Y "/>
    <s v="EGM No. EGM Date Container No. Seal No. Error Message_x000a_T567841908  2017-8-19 0.0.0.0  CCLU6335831  398647  N.A. "/>
    <s v="ROSL Availed Amount(INR) Scroll Number Scroll Date_x000a_N  0  ROSL NOT CLAIMED  ROSL NOT CLAIMED "/>
    <x v="45"/>
    <s v="AWB No. Gateway Port Gateway EGM No. Gateway EGM Date Gateway Site ID Error Code_x000a_N.A.  INNSA1  132938  2017-08-09 00:00:00.0  INNSA1  S "/>
    <x v="0"/>
    <x v="0"/>
  </r>
  <r>
    <x v="0"/>
    <n v="7905312"/>
    <s v="2017/08/09"/>
    <s v="IEC CHA No. Job No. Job Date Port of Discharge Total Package Gross Weight (Kg) FOB(INR) Total Cess (INR) Drawback STR Total (DBK+STR) CIN NO. CIN DT. Reward Flag_x000a_3097011234  AAACL3717ACH006  5248128  09 AUG 2017 12:08  ITGOA  6  2850  404859  0  8097  0  8097  N.A.  N.A.  Click here to view item wise reward details "/>
    <s v="Current Que LEO Date EP Copy Print Status DBK Scroll No Scroll Date EGM Integration Status_x000a_HIST  14 AUG 2017 00:08  Y  21652/2017  14 SEP 2017 00:09  Y "/>
    <s v="EGM No. EGM Date Container No. Seal No. Error Message_x000a_T957582308  2017-8-23 0.0.0.0  FCIU5841073  399543  N.A. "/>
    <s v="ROSL Availed Amount(INR) Scroll Number Scroll Date_x000a_N  0  ROSL NOT CLAIMED  ROSL NOT CLAIMED "/>
    <x v="46"/>
    <s v="AWB No. Gateway Port Gateway EGM No. Gateway EGM Date Gateway Site ID Error Code_x000a_N.A.  INMUN1  134053  2017-08-28 00:00:00.0  INMUN1  S "/>
    <x v="0"/>
    <x v="17"/>
  </r>
  <r>
    <x v="0"/>
    <n v="7909008"/>
    <s v="2017/08/09"/>
    <s v="IEC CHA No. Job No. Job Date Port of Discharge Total Package Gross Weight (Kg) FOB(INR) Total Cess (INR) Drawback STR Total (DBK+STR) CIN NO. CIN DT. Reward Flag_x000a_AAKFN5762C  AHVPD5199DCH001  5252194  09 AUG 2017 12:08  USSIO  7  2975  4303349.56  0  43033  0  43033  N.A.  N.A.  Click here to view item wise reward details "/>
    <s v="Warehouse Code Warehouse Name Current Que Current Status Appraising Date A.C(APR) A.C(APR) Date Exam Mark ID Mark Date_x000a_N.A.  EXPORT W/H  EXAM_SUP  LEO CANCELLED  N.A.  N.A.  N.A.  10018908  17 AUG 2017 12:08 _x000a_  Insp/E.O EXAM DATE Supdt/A.O.Id DBK A.C ID DBK A.C ID Date DBK Supdt. ID DBK Supdt. Date DEPB Supdt DEPB Supdt Date_x000a_10039316  17 AUG 2017 00:08  10038461  N.A.  N.A.  N.A.  N.A.  N.A.  N.A. _x000a_  DEPB Lic DEPB Lic Date Sample Drawn Test Report LEO Date EP Copy Print Status Print Status DBK Scroll No Scroll Date EGM Integration Status_x000a_N.A.  N.A.  N.A.  N.A.  N.A.  Y  N.A.  N.A.  N.A.  N.A. "/>
    <s v="EGM No. EGM Date Container No. Seal No. Error Message_x000a_N.A.  N.A.  N.A.  N.A.  N.A. "/>
    <s v="ROSL Availed Amount(INR) Scroll Number Scroll Date_x000a_N  0  ROSL NOT CLAIMED  ROSL NOT CLAIMED "/>
    <x v="47"/>
    <s v="No Record found"/>
    <x v="0"/>
    <x v="0"/>
  </r>
  <r>
    <x v="0"/>
    <n v="7918086"/>
    <s v="2017/08/09"/>
    <s v="IEC CHA No. Job No. Job Date Port of Discharge Total Package Gross Weight (Kg) FOB(INR) Total Cess (INR) Drawback STR Total (DBK+STR) CIN NO. CIN DT. Reward Flag_x000a_0517542374  AAAPC3345CCH001  5262192  09 AUG 2017 12:08  AEJEA  26  950  1030234.69  0  20528  0  2052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x v="48"/>
    <s v="AWB No. Gateway Port Gateway EGM No. Gateway EGM Date Gateway Site ID Error Code_x000a_N.A.  INMUN1  137180  2017-10-18 00:00:00.0  INMUN1  ST "/>
    <x v="0"/>
    <x v="0"/>
  </r>
  <r>
    <x v="0"/>
    <n v="7924066"/>
    <s v="2017/08/10"/>
    <s v="IEC CHA No. Job No. Job Date Port of Discharge Total Package Gross Weight (Kg) FOB(INR) Total Cess (INR) Drawback STR Total (DBK+STR) CIN NO. CIN DT. Reward Flag_x000a_0595025714  AAACP3974HCH001  5268773  10 AUG 2017 12:08  OMSOH  364  3086.72  590121.28  0  8852  0  8852  N.A.  N.A.  Click here to view item wise reward details "/>
    <s v="Current Que LEO Date EP Copy Print Status DBK Scroll No Scroll Date EGM Integration Status_x000a_HIST  16 AUG 2017 00:08  Y  21593/2017  12 SEP 2017 00:09  Y "/>
    <s v="EGM No. EGM Date Container No. Seal No. Error Message_x000a_R387561708  2017-8-17 0.0.0.0  CXDU1101779  398772  N.A. "/>
    <s v="ROSL Availed Amount(INR) Scroll Number Scroll Date_x000a_N  0  ROSL NOT CLAIMED  ROSL NOT CLAIMED "/>
    <x v="49"/>
    <s v="AWB No. Gateway Port Gateway EGM No. Gateway EGM Date Gateway Site ID Error Code_x000a_N.A.  INMUN1  N.A.  N.A.  N.A.  N.A. "/>
    <x v="0"/>
    <x v="0"/>
  </r>
  <r>
    <x v="0"/>
    <n v="7935521"/>
    <s v="2017/08/10"/>
    <s v="IEC CHA No. Job No. Job Date Port of Discharge Total Package Gross Weight (Kg) FOB(INR) Total Cess (INR) Drawback STR Total (DBK+STR) CIN NO. CIN DT. Reward Flag_x000a_0507051360  AAAFJ1721HCH058  5281453  10 AUG 2017 12:08  THBKK  1  150  187569.54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x v="50"/>
    <s v="AWB No. Gateway Port Gateway EGM No. Gateway EGM Date Gateway Site ID Error Code_x000a_N.A.  INNSA1  N.A.  N.A.  N.A.  N.A. "/>
    <x v="0"/>
    <x v="0"/>
  </r>
  <r>
    <x v="0"/>
    <n v="7944561"/>
    <s v="2017/08/10"/>
    <s v="IEC CHA No. Job No. Job Date Port of Discharge Total Package Gross Weight (Kg) FOB(INR) Total Cess (INR) Drawback STR Total (DBK+STR) CIN NO. CIN DT. Reward Flag_x000a_0514026804  APGPK3937FCH001  5291412  10 AUG 2017 12:08  PKKHI  1113  24708  1492912.5  0  22394  0  22394  N.A.  N.A.  Click here to view item wise reward details "/>
    <s v="Current Que LEO Date EP Copy Print Status DBK Scroll No Scroll Date EGM Integration Status_x000a_HIST  21 AUG 2017 00:08  Y  24432/2018  25 MAR 2018 00:03  Y "/>
    <s v="EGM No. EGM Date Container No. Seal No. Error Message_x000a_R467902508  2017-8-25 0.0.0.0  BMOU6258360  399629  N.A. "/>
    <s v="ROSL Availed Amount(INR) Scroll Number Scroll Date_x000a_N  0  ROSL NOT CLAIMED  ROSL NOT CLAIMED "/>
    <x v="51"/>
    <s v="AWB No. Gateway Port Gateway EGM No. Gateway EGM Date Gateway Site ID Error Code_x000a_N.A.  INMUN1  134209  2017-08-30 00:00:00.0  INMUN1  NC "/>
    <x v="0"/>
    <x v="0"/>
  </r>
  <r>
    <x v="0"/>
    <n v="7945866"/>
    <s v="2017/08/10"/>
    <s v="IEC CHA No. Job No. Job Date Port of Discharge Total Package Gross Weight (Kg) FOB(INR) Total Cess (INR) Drawback STR Total (DBK+STR) CIN NO. CIN DT. Reward Flag_x000a_0598045783  FHMPS1058ECH001  5292835  10 AUG 2017 12:08  LKCMB  51  1050  584819.25  0  0  0  0  N.A.  N.A.  Click here to view item wise reward details "/>
    <s v="Current Que LEO Date EP Copy Print Status DBK Scroll No Scroll Date EGM Integration Status_x000a_HIST  14 AUG 2017 00:08  Y  N.A.  N.A.  Y "/>
    <s v="EGM No. EGM Date Container No. Seal No. Error Message_x000a_R957502308  2017-8-23 0.0.0.0  ZCSU6529476  399516  N.A. "/>
    <s v="ROSL Availed Amount(INR) Scroll Number Scroll Date_x000a_NULL  NULL  NULL  NULL "/>
    <x v="52"/>
    <s v="AWB No. Gateway Port Gateway EGM No. Gateway EGM Date Gateway Site ID Error Code_x000a_N.A.  INPAV1  133808  2017-08-24 00:00:00.0  INPAV1  S "/>
    <x v="1"/>
    <x v="0"/>
  </r>
  <r>
    <x v="0"/>
    <n v="7955843"/>
    <s v="2017/08/11"/>
    <s v="IEC CHA No. Job No. Job Date Port of Discharge Total Package Gross Weight (Kg) FOB(INR) Total Cess (INR) Drawback STR Total (DBK+STR) CIN NO. CIN DT. Reward Flag_x000a_0509025765  AACCA2655GCH002  5303717  11 AUG 2017 12:08  MUPLU  22  2580  295432.08  0  4288  0  4288  N.A.  N.A.  Click here to view item wise reward details "/>
    <s v="Current Que LEO Date EP Copy Print Status DBK Scroll No Scroll Date EGM Integration Status_x000a_HIST  16 AUG 2017 00:08  Y  21843/2017  21 SEP 2017 00:09  Y "/>
    <s v="EGM No. EGM Date Container No. Seal No. Error Message_x000a_TX197783108  2017-8-31 0.0.0.0  WHLU5249023  400237  N.A. "/>
    <s v="ROSL Availed Amount(INR) Scroll Number Scroll Date_x000a_N  0  ROSL NOT CLAIMED  ROSL NOT CLAIMED "/>
    <x v="53"/>
    <s v="AWB No. Gateway Port Gateway EGM No. Gateway EGM Date Gateway Site ID Error Code_x000a_N.A.  INNSA1  N.A.  N.A.  N.A.  N.A. "/>
    <x v="0"/>
    <x v="0"/>
  </r>
  <r>
    <x v="0"/>
    <n v="7958295"/>
    <s v="2017/08/11"/>
    <s v="IEC CHA No. Job No. Job Date Port of Discharge Total Package Gross Weight (Kg) FOB(INR) Total Cess (INR) Drawback STR Total (DBK+STR) CIN NO. CIN DT. Reward Flag_x000a_0598055665  AARPK1504ACH001  5306450  11 AUG 2017 12:08  FIHEL  25  475  353695.5  0  33601  0  33601  N.A.  N.A.  Click here to view item wise reward details "/>
    <s v="Current Que LEO Date EP Copy Print Status DBK Scroll No Scroll Date EGM Integration Status_x000a_HIST  24 AUG 2017 00:08  Y  21652/2017  14 SEP 2017 00:09  Y "/>
    <s v="EGM No. EGM Date Container No. Seal No. Error Message_x000a_R127262708  2017-8-27 0.0.0.0  GESU5095600  399594  N.A. "/>
    <s v="ROSL Availed Amount(INR) Scroll Number Scroll Date_x000a_N  0  ROSL NOT CLAIMED  ROSL NOT CLAIMED "/>
    <x v="54"/>
    <s v="AWB No. Gateway Port Gateway EGM No. Gateway EGM Date Gateway Site ID Error Code_x000a_N.A.  INNSA1  N.A.  N.A.  N.A.  N.A. "/>
    <x v="0"/>
    <x v="18"/>
  </r>
  <r>
    <x v="0"/>
    <n v="7961683"/>
    <s v="2017/08/11"/>
    <s v="IEC CHA No. Job No. Job Date Port of Discharge Total Package Gross Weight (Kg) FOB(INR) Total Cess (INR) Drawback STR Total (DBK+STR) CIN NO. CIN DT. Reward Flag_x000a_0507051360  AAAFJ1721HCH058  5310153  11 AUG 2017 12:08  THBKK  1  150  187563.26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x v="55"/>
    <s v="AWB No. Gateway Port Gateway EGM No. Gateway EGM Date Gateway Site ID Error Code_x000a_N.A.  INNSA1  133227  2017-08-14 00:00:00.0  INNSA1  S "/>
    <x v="0"/>
    <x v="0"/>
  </r>
  <r>
    <x v="0"/>
    <n v="7968231"/>
    <s v="2017/08/11"/>
    <s v="IEC CHA No. Job No. Job Date Port of Discharge Total Package Gross Weight (Kg) FOB(INR) Total Cess (INR) Drawback STR Total (DBK+STR) CIN NO. CIN DT. Reward Flag_x000a_0517546981  AICPK6933ACH001  5317376  11 AUG 2017 12:08  SADMN  14  405  247603.86  0  0  0  0  N.A.  N.A.  Click here to view item wise reward details "/>
    <s v="Current Que LEO Date EP Copy Print Status DBK Scroll No Scroll Date EGM Integration Status_x000a_HIST  16 AUG 2017 00:08  Y  N.A.  N.A.  Y "/>
    <s v="EGM No. EGM Date Container No. Seal No. Error Message_x000a_R487082008  2017-8-20 0.0.0.0  BSIU2524581  398651  N.A. "/>
    <s v="ROSL Availed Amount(INR) Scroll Number Scroll Date_x000a_NULL  NULL  NULL  NULL "/>
    <x v="56"/>
    <s v="AWB No. Gateway Port Gateway EGM No. Gateway EGM Date Gateway Site ID Error Code_x000a_N.A.  INMUN1  137180  2017-10-18 00:00:00.0  INMUN1  ST "/>
    <x v="1"/>
    <x v="0"/>
  </r>
  <r>
    <x v="0"/>
    <n v="7970037"/>
    <s v="2017/08/11"/>
    <s v="IEC CHA No. Job No. Job Date Port of Discharge Total Package Gross Weight (Kg) FOB(INR) Total Cess (INR) Drawback STR Total (DBK+STR) CIN NO. CIN DT. Reward Flag_x000a_0590022873  AAICS8856RCH001  5319329  11 AUG 2017 12:08  PLGDY  7  5710  927037.5  0  18541  0  18541  N.A.  N.A.  Click here to view item wise reward details "/>
    <s v="Current Que LEO Date EP Copy Print Status DBK Scroll No Scroll Date EGM Integration Status_x000a_HIST  17 AUG 2017 00:08  Y  21843/2017  21 SEP 2017 00:09  Y "/>
    <s v="EGM No. EGM Date Container No. Seal No. Error Message_x000a_J207823108  2017-8-31 0.0.0.0  MEDU7287066  400247  N.A. "/>
    <s v="ROSL Availed Amount(INR) Scroll Number Scroll Date_x000a_N  0  ROSL NOT CLAIMED  ROSL NOT CLAIMED "/>
    <x v="57"/>
    <s v="AWB No. Gateway Port Gateway EGM No. Gateway EGM Date Gateway Site ID Error Code_x000a_N.A.  INMUN1  134147  2017-08-29 00:00:00.0  INMUN1  S "/>
    <x v="0"/>
    <x v="0"/>
  </r>
  <r>
    <x v="0"/>
    <n v="7970441"/>
    <s v="2017/08/11"/>
    <s v="IEC CHA No. Job No. Job Date Port of Discharge Total Package Gross Weight (Kg) FOB(INR) Total Cess (INR) Drawback STR Total (DBK+STR) CIN NO. CIN DT. Reward Flag_x000a_0314035087  AAACJ3309GCH001  5319773  11 AUG 2017 12:08  SNDKR  227  10727  1129229.09  0  16938  0  16938  N.A.  N.A.  Click here to view item wise reward details "/>
    <s v="Current Que LEO Date EP Copy Print Status DBK Scroll No Scroll Date EGM Integration Status_x000a_HIST  18 AUG 2017 00:08  Y  21593/2017  12 SEP 2017 00:09  Y "/>
    <s v="EGM No. EGM Date Container No. Seal No. Error Message_x000a_T957582308  2017-8-23 0.0.0.0  MRKU6649496  399437  N.A. "/>
    <s v="ROSL Availed Amount(INR) Scroll Number Scroll Date_x000a_N  0  ROSL NOT CLAIMED  ROSL NOT CLAIMED "/>
    <x v="58"/>
    <s v="AWB No. Gateway Port Gateway EGM No. Gateway EGM Date Gateway Site ID Error Code_x000a_N.A.  INMUN1  134794  2017-09-08 00:00:00.0  INMUN1  S "/>
    <x v="0"/>
    <x v="0"/>
  </r>
  <r>
    <x v="0"/>
    <n v="7971432"/>
    <s v="2017/08/11"/>
    <s v="IEC CHA No. Job No. Job Date Port of Discharge Total Package Gross Weight (Kg) FOB(INR) Total Cess (INR) Drawback STR Total (DBK+STR) CIN NO. CIN DT. Reward Flag_x000a_0503083518  AACCP0287DCH001  5320861  11 AUG 2017 12:08  FJSUV  42  1078  244576.38  0  3669  0  3669  N.A.  N.A.  Click here to view item wise reward details "/>
    <s v="Current Que LEO Date EP Copy Print Status DBK Scroll No Scroll Date EGM Integration Status_x000a_HIST  16 AUG 2017 00:08  Y  21593/2017  12 SEP 2017 00:09  Y "/>
    <s v="EGM No. EGM Date Container No. Seal No. Error Message_x000a_R857781808  2017-8-18 0.0.0.0  UNIU2052951  398643  N.A. "/>
    <s v="ROSL Availed Amount(INR) Scroll Number Scroll Date_x000a_N  0  ROSL NOT CLAIMED  ROSL NOT CLAIMED "/>
    <x v="59"/>
    <s v="AWB No. Gateway Port Gateway EGM No. Gateway EGM Date Gateway Site ID Error Code_x000a_N.A.  INPAV1  133387  2017-08-16 00:00:00.0  INPAV1  S "/>
    <x v="0"/>
    <x v="0"/>
  </r>
  <r>
    <x v="0"/>
    <n v="7984652"/>
    <s v="2017/08/12"/>
    <s v="IEC CHA No. Job No. Job Date Port of Discharge Total Package Gross Weight (Kg) FOB(INR) Total Cess (INR) Drawback STR Total (DBK+STR) CIN NO. CIN DT. Reward Flag_x000a_0510040519  AATPS3087NCH001  5335219  12 AUG 2017 12:08  RULED  541  4695.4  901244.49  0  5978  0  5978  N.A.  N.A.  Click here to view item wise reward details "/>
    <s v="Current Que LEO Date EP Copy Print Status DBK Scroll No Scroll Date EGM Integration Status_x000a_HIST  18 AUG 2017 00:08  Y  21652/2017  14 SEP 2017 00:09  Y "/>
    <s v="EGM No. EGM Date Container No. Seal No. Error Message_x000a_R127262708  2017-8-27 0.0.0.0  HASU1199758  399248  N.A. "/>
    <s v="ROSL Availed Amount(INR) Scroll Number Scroll Date_x000a_N  0  ROSL NOT CLAIMED  ROSL NOT CLAIMED "/>
    <x v="60"/>
    <s v="AWB No. Gateway Port Gateway EGM No. Gateway EGM Date Gateway Site ID Error Code_x000a_N.A.  INNSA1  133031  2017-08-10 00:00:00.0  INNSA1  S "/>
    <x v="0"/>
    <x v="0"/>
  </r>
  <r>
    <x v="0"/>
    <n v="8018847"/>
    <s v="2017/08/15"/>
    <s v="IEC CHA No. Job No. Job Date Port of Discharge Total Package Gross Weight (Kg) FOB(INR) Total Cess (INR) Drawback STR Total (DBK+STR) CIN NO. CIN DT. Reward Flag_x000a_0514081988  AATPS3087NCH001  5372063  15 AUG 2017 12:08  SADMM  349  4100  537776.03  0  10756  0  10756  N.A.  N.A.  Click here to view item wise reward details "/>
    <s v="Current Que LEO Date EP Copy Print Status DBK Scroll No Scroll Date EGM Integration Status_x000a_HIST  18 AUG 2017 00:08  Y  21652/2017  14 SEP 2017 00:09  Y "/>
    <s v="EGM No. EGM Date Container No. Seal No. Error Message_x000a_R207802508  2017-8-25 0.0.0.0  MSKU7268433  399449  N.A. "/>
    <s v="ROSL Availed Amount(INR) Scroll Number Scroll Date_x000a_N  0  ROSL NOT CLAIMED  ROSL NOT CLAIMED "/>
    <x v="61"/>
    <s v="AWB No. Gateway Port Gateway EGM No. Gateway EGM Date Gateway Site ID Error Code_x000a_N.A.  INPAV1  132215  2017-07-26 00:00:00.0  INPAV1  S "/>
    <x v="0"/>
    <x v="19"/>
  </r>
  <r>
    <x v="0"/>
    <n v="8022473"/>
    <s v="2017/08/16"/>
    <s v="IEC CHA No. Job No. Job Date Port of Discharge Total Package Gross Weight (Kg) FOB(INR) Total Cess (INR) Drawback STR Total (DBK+STR) CIN NO. CIN DT. Reward Flag_x000a_0512062013  FHMPS1058ECH001  5375921  16 AUG 2017 12:08  UYMVD  58  1241  576334.5  0  43225  0  43225  N.A.  N.A.  Click here to view item wise reward details "/>
    <s v="Current Que LEO Date EP Copy Print Status DBK Scroll No Scroll Date EGM Integration Status_x000a_HIST  17 AUG 2017 00:08  Y  21652/2017  14 SEP 2017 00:09  Y "/>
    <s v="EGM No. EGM Date Container No. Seal No. Error Message_x000a_R807442208  2017-8-22 0.0.0.0  PCIU8179227  399508  N.A. "/>
    <s v="ROSL Availed Amount(INR) Scroll Number Scroll Date_x000a_N  0  ROSL NOT CLAIMED  ROSL NOT CLAIMED "/>
    <x v="62"/>
    <s v="AWB No. Gateway Port Gateway EGM No. Gateway EGM Date Gateway Site ID Error Code_x000a_N.A.  INNSA1  134040  2017-08-28 00:00:00.0  INNSA1  S "/>
    <x v="0"/>
    <x v="20"/>
  </r>
  <r>
    <x v="0"/>
    <n v="8035307"/>
    <s v="2017/08/16"/>
    <s v="IEC CHA No. Job No. Job Date Port of Discharge Total Package Gross Weight (Kg) FOB(INR) Total Cess (INR) Drawback STR Total (DBK+STR) CIN NO. CIN DT. Reward Flag_x000a_0513021612  AAGPD5694PCH001  5389841  16 AUG 2017 12:08  DOSDQ  30  730  278973.55  0  5434  0  5434  N.A.  N.A.  Click here to view item wise reward details "/>
    <s v="Current Que LEO Date EP Copy Print Status DBK Scroll No Scroll Date EGM Integration Status_x000a_HIST  19 AUG 2017 00:08  Y  21843/2017  21 SEP 2017 00:09  Y "/>
    <s v="EGM No. EGM Date Container No. Seal No. Error Message_x000a_R87120209  2017-9-2 0.0.0.0  TCNU7158117  401010  N.A. "/>
    <s v="ROSL Availed Amount(INR) Scroll Number Scroll Date_x000a_N  0  ROSL NOT CLAIMED  ROSL NOT CLAIMED "/>
    <x v="63"/>
    <s v="AWB No. Gateway Port Gateway EGM No. Gateway EGM Date Gateway Site ID Error Code_x000a_N.A.  INNSA1  133314  2017-08-16 00:00:00.0  INNSA1  S "/>
    <x v="0"/>
    <x v="0"/>
  </r>
  <r>
    <x v="0"/>
    <n v="8039228"/>
    <s v="2017/08/16"/>
    <s v="IEC CHA No. Job No. Job Date Port of Discharge Total Package Gross Weight (Kg) FOB(INR) Total Cess (INR) Drawback STR Total (DBK+STR) CIN NO. CIN DT. Reward Flag_x000a_0515042064  AFYPK1878FCH001  5394090  16 AUG 2017 12:08  THBKK  8  96  42423.75  0  636  0  636  N.A.  N.A.  Click here to view item wise reward details "/>
    <s v="Current Que LEO Date EP Copy Print Status DBK Scroll No Scroll Date EGM Integration Status_x000a_HIST  23 AUG 2017 00:08  Y  21652/2017  14 SEP 2017 00:09  Y "/>
    <s v="EGM No. EGM Date Container No. Seal No. Error Message_x000a_R127262708  2017-8-27 0.0.0.0  RFCU2145800  399580  N.A. "/>
    <s v="ROSL Availed Amount(INR) Scroll Number Scroll Date_x000a_N  0  ROSL NOT CLAIMED  ROSL NOT CLAIMED "/>
    <x v="64"/>
    <s v="AWB No. Gateway Port Gateway EGM No. Gateway EGM Date Gateway Site ID Error Code_x000a_N.A.  INNSA1  N.A.  N.A.  N.A.  N.A. "/>
    <x v="0"/>
    <x v="9"/>
  </r>
  <r>
    <x v="0"/>
    <n v="8055596"/>
    <s v="2017/08/17"/>
    <s v="IEC CHA No. Job No. Job Date Port of Discharge Total Package Gross Weight (Kg) FOB(INR) Total Cess (INR) Drawback STR Total (DBK+STR) CIN NO. CIN DT. Reward Flag_x000a_0593058577  ADWPT4152FCH001  5411860  17 AUG 2017 12:08  BGVAR  6  9000  1275380  0  25508  0  25508  N.A.  N.A.  Click here to view item wise reward details "/>
    <s v="Current Que LEO Date EP Copy Print Status DBK Scroll No Scroll Date EGM Integration Status_x000a_HIST  21 AUG 2017 00:08  Y  21652/2017  14 SEP 2017 00:09  Y "/>
    <s v="EGM No. EGM Date Container No. Seal No. Error Message_x000a_T957582308  2017-8-23 0.0.0.0  HASU4272343  399531  N.A. "/>
    <s v="ROSL Availed Amount(INR) Scroll Number Scroll Date_x000a_N  0  ROSL NOT CLAIMED  ROSL NOT CLAIMED "/>
    <x v="65"/>
    <s v="AWB No. Gateway Port Gateway EGM No. Gateway EGM Date Gateway Site ID Error Code_x000a_N.A.  INMUN1  134051  2017-08-28 00:00:00.0  INMUN1  S "/>
    <x v="0"/>
    <x v="0"/>
  </r>
  <r>
    <x v="0"/>
    <n v="8061134"/>
    <s v="2017/08/17"/>
    <s v="IEC CHA No. Job No. Job Date Port of Discharge Total Package Gross Weight (Kg) FOB(INR) Total Cess (INR) Drawback STR Total (DBK+STR) CIN NO. CIN DT. Reward Flag_x000a_0515042064  AFYPK1878FCH001  5417911  17 AUG 2017 12:08  CAMTR  51  637.5  245137  0  3677  0  3677  N.A.  N.A.  Click here to view item wise reward details "/>
    <s v="Current Que LEO Date EP Copy Print Status DBK Scroll No Scroll Date EGM Integration Status_x000a_HIST  24 AUG 2017 00:08  Y  21843/2017  21 SEP 2017 00:09  Y "/>
    <s v="EGM No. EGM Date Container No. Seal No. Error Message_x000a_R87120209  2017-9-2 0.0.0.0  TGHU7862323  4001009  N.A. "/>
    <s v="ROSL Availed Amount(INR) Scroll Number Scroll Date_x000a_N  0  ROSL NOT CLAIMED  ROSL NOT CLAIMED "/>
    <x v="66"/>
    <s v="AWB No. Gateway Port Gateway EGM No. Gateway EGM Date Gateway Site ID Error Code_x000a_N.A.  INNSA1  134474  2017-09-04 00:00:00.0  INNSA1  C "/>
    <x v="0"/>
    <x v="9"/>
  </r>
  <r>
    <x v="0"/>
    <n v="8065467"/>
    <s v="2017/08/17"/>
    <s v="IEC CHA No. Job No. Job Date Port of Discharge Total Package Gross Weight (Kg) FOB(INR) Total Cess (INR) Drawback STR Total (DBK+STR) CIN NO. CIN DT. Reward Flag_x000a_0509092110  AAGPB6351DCH001  5422677  17 AUG 2017 12:08  IRBND  395  10895.91  1996650.23  0  81230  0  81230  N.A.  N.A.  Click here to view item wise reward details "/>
    <s v="Current Que LEO Date EP Copy Print Status DBK Scroll No Scroll Date EGM Integration Status_x000a_HIST  24 AUG 2017 00:08  Y  21652/2017  14 SEP 2017 00:09  Y "/>
    <s v="EGM No. EGM Date Container No. Seal No. Error Message_x000a_R577683008  2017-8-30 0.0.0.0  AXIU2216000  399584  N.A. "/>
    <s v="Please Wait...."/>
    <x v="67"/>
    <s v="AWB No. Gateway Port Gateway EGM No. Gateway EGM Date Gateway Site ID Error Code_x000a_N.A.  INMUN1  137180  2017-10-18 00:00:00.0  INMUN1  ST "/>
    <x v="2"/>
    <x v="0"/>
  </r>
  <r>
    <x v="0"/>
    <n v="8065602"/>
    <s v="2017/08/17"/>
    <s v="IEC CHA No. Job No. Job Date Port of Discharge Total Package Gross Weight (Kg) FOB(INR) Total Cess (INR) Drawback STR Total (DBK+STR) CIN NO. CIN DT. Reward Flag_x000a_0599007931  AASPK7562KCH001  5422767  17 AUG 2017 12:08  EGPSD  6  166.5  173466  0  0  0  0  N.A.  N.A.  Click here to view item wise reward details "/>
    <s v="Current Que LEO Date EP Copy Print Status DBK Scroll No Scroll Date EGM Integration Status_x000a_HIST  19 AUG 2017 00:08  R  N.A.  N.A.  Y "/>
    <s v="EGM No. EGM Date Container No. Seal No. Error Message_x000a_R917162708  2017-8-27 0.0.0.0  WHLU5136177  400214  N.A. "/>
    <s v="ROSL Availed Amount(INR) Scroll Number Scroll Date_x000a_NULL  NULL  NULL  NULL "/>
    <x v="68"/>
    <s v="AWB No. Gateway Port Gateway EGM No. Gateway EGM Date Gateway Site ID Error Code_x000a_N.A.  INNSA1  134681  2017-09-07 00:00:00.0  INNSA1  S "/>
    <x v="1"/>
    <x v="0"/>
  </r>
  <r>
    <x v="0"/>
    <n v="8067051"/>
    <s v="2017/08/17"/>
    <s v="IEC CHA No. Job No. Job Date Port of Discharge Total Package Gross Weight (Kg) FOB(INR) Total Cess (INR) Drawback STR Total (DBK+STR) CIN NO. CIN DT. Reward Flag_x000a_0514087234  AADCC6624QCH001  5424321  17 AUG 2017 12:08  KEEMB  63  2558.97  746343.75  0  62693  0  62693  N.A.  N.A.  Click here to view item wise reward details "/>
    <s v="Current Que LEO Date EP Copy Print Status DBK Scroll No Scroll Date EGM Integration Status_x000a_HIST  25 AUG 2017 00:08  Y  21843/2017  21 SEP 2017 00:09  Y "/>
    <s v="EGM No. EGM Date Container No. Seal No. Error Message_x000a_R1477100209  2017-9-2 0.0.0.0  FSCU9987548  401004  N.A. "/>
    <s v="ROSL Availed Amount(INR) Scroll Number Scroll Date_x000a_N  0  ROSL NOT CLAIMED  ROSL NOT CLAIMED "/>
    <x v="69"/>
    <s v="AWB No. Gateway Port Gateway EGM No. Gateway EGM Date Gateway Site ID Error Code_x000a_N.A.  INMUN1  133949  2017-08-26 00:00:00.0  INMUN1  S "/>
    <x v="0"/>
    <x v="0"/>
  </r>
  <r>
    <x v="0"/>
    <n v="8086454"/>
    <s v="2017/08/18"/>
    <s v="IEC CHA No. Job No. Job Date Port of Discharge Total Package Gross Weight (Kg) FOB(INR) Total Cess (INR) Drawback STR Total (DBK+STR) CIN NO. CIN DT. Reward Flag_x000a_0509006191  AADFT2787LCH001  5445293  18 AUG 2017 12:08  USNYC  46  853.3  248089.5  0  0  0  0  N.A.  N.A.  Click here to view item wise reward details "/>
    <s v="Current Que LEO Date EP Copy Print Status DBK Scroll No Scroll Date EGM Integration Status_x000a_HIST  23 AUG 2017 00:08  Y  N.A.  N.A.  Y "/>
    <s v="EGM No. EGM Date Container No. Seal No. Error Message_x000a_R917162708  2017-8-27 0.0.0.0  TCLU9275028  399574  N.A. "/>
    <s v="ROSL Availed Amount(INR) Scroll Number Scroll Date_x000a_NULL  NULL  NULL  NULL "/>
    <x v="70"/>
    <s v="AWB No. Gateway Port Gateway EGM No. Gateway EGM Date Gateway Site ID Error Code_x000a_N.A.  INNSA1  133604  2017-08-19 00:00:00.0  INNSA1  S "/>
    <x v="1"/>
    <x v="21"/>
  </r>
  <r>
    <x v="0"/>
    <n v="8090388"/>
    <s v="2017/08/18"/>
    <s v="IEC CHA No. Job No. Job Date Port of Discharge Total Package Gross Weight (Kg) FOB(INR) Total Cess (INR) Drawback STR Total (DBK+STR) CIN NO. CIN DT. Reward Flag_x000a_0507062884  AYZPP5973GCH001  5449513  18 AUG 2017 12:08  BRSSZ  55  2705  1350857  0  27017  0  27017  N.A.  N.A.  Click here to view item wise reward details "/>
    <s v="Current Que LEO Date EP Copy Print Status DBK Scroll No Scroll Date EGM Integration Status_x000a_HIST  24 AUG 2017 00:08  Y  21652/2017  14 SEP 2017 00:09  Y "/>
    <s v="EGM No. EGM Date Container No. Seal No. Error Message_x000a_R027922508  2017-8-25 0.0.0.0  TCLU9529586  003209  N.A. "/>
    <s v="ROSL Availed Amount(INR) Scroll Number Scroll Date_x000a_N  0  ROSL NOT CLAIMED  ROSL NOT CLAIMED "/>
    <x v="71"/>
    <s v="AWB No. Gateway Port Gateway EGM No. Gateway EGM Date Gateway Site ID Error Code_x000a_N.A.  INMUN1  134147  2017-08-29 00:00:00.0  INMUN1  S "/>
    <x v="0"/>
    <x v="22"/>
  </r>
  <r>
    <x v="0"/>
    <n v="8091385"/>
    <s v="2017/08/18"/>
    <s v="IEC CHA No. Job No. Job Date Port of Discharge Total Package Gross Weight (Kg) FOB(INR) Total Cess (INR) Drawback STR Total (DBK+STR) CIN NO. CIN DT. Reward Flag_x000a_0512002835  AABCJ1595RCH001  5450610  18 AUG 2017 12:08  QADOH  156  4212  521241.75  0  15637  0  15637  N.A.  N.A.  Click here to view item wise reward details "/>
    <s v="Current Que LEO Date EP Copy Print Status DBK Scroll No Scroll Date EGM Integration Status_x000a_HIST  23 AUG 2017 00:08  Y  21652/2017  14 SEP 2017 00:09  Y "/>
    <s v="EGM No. EGM Date Container No. Seal No. Error Message_x000a_R557142608  2017-8-26 0.0.0.0  VMLU3500891  399839  N.A. "/>
    <s v="ROSL Availed Amount(INR) Scroll Number Scroll Date_x000a_N  0  ROSL NOT CLAIMED  ROSL NOT CLAIMED "/>
    <x v="72"/>
    <s v="AWB No. Gateway Port Gateway EGM No. Gateway EGM Date Gateway Site ID Error Code_x000a_N.A.  INMUN1  N.A.  N.A.  N.A.  N.A. "/>
    <x v="0"/>
    <x v="23"/>
  </r>
  <r>
    <x v="0"/>
    <n v="8102896"/>
    <s v="2017/08/19"/>
    <s v="IEC CHA No. Job No. Job Date Port of Discharge Total Package Gross Weight (Kg) FOB(INR) Total Cess (INR) Drawback STR Total (DBK+STR) CIN NO. CIN DT. Reward Flag_x000a_0589053850  AATPS3087NCH001  5463111  19 AUG 2017 12:08  AEJEA  2  680  81419.04  0  1628  0  1628  N.A.  N.A.  Click here to view item wise reward details "/>
    <s v="Current Que LEO Date EP Copy Print Status DBK Scroll No Scroll Date EGM Integration Status_x000a_HIST  24 AUG 2017 00:08  Y  21652/2017  14 SEP 2017 00:09  Y "/>
    <s v="EGM No. EGM Date Container No. Seal No. Error Message_x000a_TX187202708  2017-8-27 0.0.0.0  DRYU9598215  399569  N.A. "/>
    <s v="ROSL Availed Amount(INR) Scroll Number Scroll Date_x000a_N  0  ROSL NOT CLAIMED  ROSL NOT CLAIMED "/>
    <x v="73"/>
    <s v="AWB No. Gateway Port Gateway EGM No. Gateway EGM Date Gateway Site ID Error Code_x000a_N.A.  INMUN1  137180  2017-10-18 00:00:00.0  INMUN1  ST "/>
    <x v="0"/>
    <x v="0"/>
  </r>
  <r>
    <x v="0"/>
    <n v="8122393"/>
    <s v="2017/08/20"/>
    <s v="IEC CHA No. Job No. Job Date Port of Discharge Total Package Gross Weight (Kg) FOB(INR) Total Cess (INR) Drawback STR Total (DBK+STR) CIN NO. CIN DT. Reward Flag_x000a_0516515403  AHDPA0753ECH001  5484326  20 AUG 2017 12:08  GRPIR  17  1786  958973.78  0  41789  0  41789  N.A.  N.A.  Click here to view item wise reward details "/>
    <s v="Current Que LEO Date EP Copy Print Status DBK Scroll No Scroll Date EGM Integration Status_x000a_HIST  26 AUG 2017 00:08  Y  21652/2017  14 SEP 2017 00:09  Y "/>
    <s v="EGM No. EGM Date Container No. Seal No. Error Message_x000a_T917703008  2017-8-30 0.0.0.0  EMCU3961694  400391  N.A. "/>
    <s v="ROSL Availed Amount(INR) Scroll Number Scroll Date_x000a_N  0  ROSL NOT CLAIMED  ROSL NOT CLAIMED "/>
    <x v="74"/>
    <s v="AWB No. Gateway Port Gateway EGM No. Gateway EGM Date Gateway Site ID Error Code_x000a_N.A.  INNSA1  133611  2017-08-21 00:00:00.0  INNSA1  S "/>
    <x v="0"/>
    <x v="0"/>
  </r>
  <r>
    <x v="0"/>
    <n v="8128641"/>
    <s v="2017/08/21"/>
    <s v="IEC CHA No. Job No. Job Date Port of Discharge Total Package Gross Weight (Kg) FOB(INR) Total Cess (INR) Drawback STR Total (DBK+STR) CIN NO. CIN DT. Reward Flag_x000a_0512072388  AHVPD5199DCH001  5491108  21 AUG 2017 12:08  ZWHRE  143  9247.2  357319.94  0  6041  0  6041  N.A.  N.A.  Click here to view item wise reward details "/>
    <s v="Current Que LEO Date EP Copy Print Status DBK Scroll No Scroll Date EGM Integration Status_x000a_HIST  24 AUG 2017 00:08  Y  23643/2018  31 JAN 2018 00:01  Y "/>
    <s v="EGM No. EGM Date Container No. Seal No. Error Message_x000a_TR5624  2018-1-11 0.0.0.0  BEAU4057547  400081  N.A. "/>
    <s v="ROSL Availed Amount(INR) Scroll Number Scroll Date_x000a_N  0  ROSL NOT CLAIMED  ROSL NOT CLAIMED "/>
    <x v="75"/>
    <s v="AWB No. Gateway Port Gateway EGM No. Gateway EGM Date Gateway Site ID Error Code_x000a_N.A.  INNSA1  N.A.  N.A.  N.A.  N.A. "/>
    <x v="0"/>
    <x v="0"/>
  </r>
  <r>
    <x v="0"/>
    <n v="8140525"/>
    <s v="2017/08/21"/>
    <s v="IEC CHA No. Job No. Job Date Port of Discharge Total Package Gross Weight (Kg) FOB(INR) Total Cess (INR) Drawback STR Total (DBK+STR) CIN NO. CIN DT. Reward Flag_x000a_0504064754  FHMPS1058ECH001  5503987  21 AUG 2017 12:08  LKCMB  8  615  394478.8  0  7703  0  7703  N.A.  N.A.  Click here to view item wise reward details "/>
    <s v="Current Que LEO Date EP Copy Print Status DBK Scroll No Scroll Date EGM Integration Status_x000a_HIST  24 AUG 2017 00:08  Y  21652/2017  14 SEP 2017 00:09  Y "/>
    <s v="EGM No. EGM Date Container No. Seal No. Error Message_x000a_T777562908  2017-8-29 0.0.0.0  ZCSU6509680  400220  N.A. "/>
    <s v="ROSL Availed Amount(INR) Scroll Number Scroll Date_x000a_N  0  ROSL NOT CLAIMED  ROSL NOT CLAIMED "/>
    <x v="76"/>
    <s v="AWB No. Gateway Port Gateway EGM No. Gateway EGM Date Gateway Site ID Error Code_x000a_N.A.  INPAV1  131777  2017-07-19 00:00:00.0  INPAV1  L "/>
    <x v="0"/>
    <x v="24"/>
  </r>
  <r>
    <x v="0"/>
    <n v="8140947"/>
    <s v="2017/08/21"/>
    <s v="IEC CHA No. Job No. Job Date Port of Discharge Total Package Gross Weight (Kg) FOB(INR) Total Cess (INR) Drawback STR Total (DBK+STR) CIN NO. CIN DT. Reward Flag_x000a_0592023052  AGYPS4804QCH001  5504396  21 AUG 2017 12:08  MYPKG  1  516.28  190025.14  0  3801  0  3801  N.A.  N.A.  Click here to view item wise reward details "/>
    <s v="Current Que LEO Date EP Copy Print Status DBK Scroll No Scroll Date EGM Integration Status_x000a_HIST  24 AUG 2017 00:08  Y  21652/2017  14 SEP 2017 00:09  Y "/>
    <s v="EGM No. EGM Date Container No. Seal No. Error Message_x000a_R917162708  2017-8-27 0.0.0.0  WSCU8099149  399598  N.A. "/>
    <s v="ROSL Availed Amount(INR) Scroll Number Scroll Date_x000a_N  0  ROSL NOT CLAIMED  ROSL NOT CLAIMED "/>
    <x v="77"/>
    <s v="AWB No. Gateway Port Gateway EGM No. Gateway EGM Date Gateway Site ID Error Code_x000a_N.A.  INNSA1  N.A.  N.A.  N.A.  N.A. "/>
    <x v="0"/>
    <x v="0"/>
  </r>
  <r>
    <x v="0"/>
    <n v="8144422"/>
    <s v="2017/08/21"/>
    <s v="IEC CHA No. Job No. Job Date Port of Discharge Total Package Gross Weight (Kg) FOB(INR) Total Cess (INR) Drawback STR Total (DBK+STR) CIN NO. CIN DT. Reward Flag_x000a_0511026242  AABCC8115GCH002  5508126  21 AUG 2017 12:08  LKCMB  8  199  237937.5  0  0  0  0  N.A.  N.A.  Click here to view item wise reward details "/>
    <s v="Current Que LEO Date EP Copy Print Status DBK Scroll No Scroll Date EGM Integration Status_x000a_HIST  24 AUG 2017 00:08  Y  N.A.  N.A.  Y "/>
    <s v="EGM No. EGM Date Container No. Seal No. Error Message_x000a_T877720509  2017-9-5 0.0.0.0  TCNU9608445  401062  N.A. "/>
    <s v="ROSL Availed Amount(INR) Scroll Number Scroll Date_x000a_NULL  NULL  NULL  NULL "/>
    <x v="78"/>
    <s v="AWB No. Gateway Port Gateway EGM No. Gateway EGM Date Gateway Site ID Error Code_x000a_N.A.  INNSA1  134462  2017-09-04 00:00:00.0  INNSA1  S "/>
    <x v="1"/>
    <x v="0"/>
  </r>
  <r>
    <x v="0"/>
    <n v="8146066"/>
    <s v="2017/08/21"/>
    <s v="IEC CHA No. Job No. Job Date Port of Discharge Total Package Gross Weight (Kg) FOB(INR) Total Cess (INR) Drawback STR Total (DBK+STR) CIN NO. CIN DT. Reward Flag_x000a_0288012101  AHRPD2201LCH001  5509928  21 AUG 2017 12:08  AEJEA  140  1890  1580843.92  0  41102  0  41102  N.A.  N.A.  Click here to view item wise reward details "/>
    <s v="Current Que LEO Date EP Copy Print Status DBK Scroll No Scroll Date EGM Integration Status_x000a_HIST  25 AUG 2017 00:08  Y  21652/2017  14 SEP 2017 00:09  Y "/>
    <s v="EGM No. EGM Date Container No. Seal No. Error Message_x000a_R317382808  2017-8-28 0.0.0.0  HJMU2911781  400157  N.A. "/>
    <s v="ROSL Availed Amount(INR) Scroll Number Scroll Date_x000a_N  0  ROSL NOT CLAIMED  ROSL NOT CLAIMED "/>
    <x v="79"/>
    <s v="AWB No. Gateway Port Gateway EGM No. Gateway EGM Date Gateway Site ID Error Code_x000a_N.A.  INMUN1  134134  2017-08-29 00:00:00.0  INMUN1  S "/>
    <x v="0"/>
    <x v="0"/>
  </r>
  <r>
    <x v="0"/>
    <n v="8146068"/>
    <s v="2017/08/21"/>
    <s v="IEC CHA No. Job No. Job Date Port of Discharge Total Package Gross Weight (Kg) FOB(INR) Total Cess (INR) Drawback STR Total (DBK+STR) CIN NO. CIN DT. Reward Flag_x000a_0288012101  AHRPD2201LCH001  5509926  21 AUG 2017 12:08  AEJEA  122  1544.6  768734.68  0  10959  0  10959  N.A.  N.A.  Click here to view item wise reward details "/>
    <s v="Current Que LEO Date EP Copy Print Status DBK Scroll No Scroll Date EGM Integration Status_x000a_HIST  24 AUG 2017 00:08  Y  21652/2017  14 SEP 2017 00:09  Y "/>
    <s v="EGM No. EGM Date Container No. Seal No. Error Message_x000a_R317382808  2017-8-28 0.0.0.0  HJMU2911781  400157  N.A. "/>
    <s v="ROSL Availed Amount(INR) Scroll Number Scroll Date_x000a_N  0  ROSL NOT CLAIMED  ROSL NOT CLAIMED "/>
    <x v="80"/>
    <s v="AWB No. Gateway Port Gateway EGM No. Gateway EGM Date Gateway Site ID Error Code_x000a_N.A.  INMUN1  134134  2017-08-29 00:00:00.0  INMUN1  S "/>
    <x v="0"/>
    <x v="0"/>
  </r>
  <r>
    <x v="0"/>
    <n v="8159434"/>
    <s v="2017/08/22"/>
    <s v="IEC CHA No. Job No. Job Date Port of Discharge Total Package Gross Weight (Kg) FOB(INR) Total Cess (INR) Drawback STR Total (DBK+STR) CIN NO. CIN DT. Reward Flag_x000a_0595012647  AAACC6689ECH001  5524445  22 AUG 2017 12:08  PKKHI  777  9526  3095252.8  0  46429  0  46429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x v="81"/>
    <s v="AWB No. Gateway Port Gateway EGM No. Gateway EGM Date Gateway Site ID Error Code_x000a_N.A.  INMUN1  134209  2017-08-30 00:00:00.0  INMUN1  S "/>
    <x v="0"/>
    <x v="0"/>
  </r>
  <r>
    <x v="0"/>
    <n v="8160683"/>
    <s v="2017/08/22"/>
    <s v="IEC CHA No. Job No. Job Date Port of Discharge Total Package Gross Weight (Kg) FOB(INR) Total Cess (INR) Drawback STR Total (DBK+STR) CIN NO. CIN DT. Reward Flag_x000a_0595012647  AAACC6689ECH001  5525781  22 AUG 2017 12:08  PKKHI  243  2346  1269897.18  0  19048  0  19048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x v="82"/>
    <s v="AWB No. Gateway Port Gateway EGM No. Gateway EGM Date Gateway Site ID Error Code_x000a_N.A.  INMUN1  134209  2017-08-30 00:00:00.0  INMUN1  S "/>
    <x v="0"/>
    <x v="0"/>
  </r>
  <r>
    <x v="0"/>
    <n v="8169500"/>
    <s v="2017/08/22"/>
    <s v="IEC CHA No. Job No. Job Date Port of Discharge Total Package Gross Weight (Kg) FOB(INR) Total Cess (INR) Drawback STR Total (DBK+STR) CIN NO. CIN DT. Reward Flag_x000a_0591028549  AAECB3928MCH001  5535182  22 AUG 2017 12:08  USHOU  1  271.647  252848.25  0  0  0  0  N.A.  N.A.  Click here to view item wise reward details "/>
    <s v="Current Que LEO Date EP Copy Print Status DBK Scroll No Scroll Date EGM Integration Status_x000a_HIST  25 AUG 2017 00:08  Y  N.A.  N.A.  Y "/>
    <s v="EGM No. EGM Date Container No. Seal No. Error Message_x000a_T707121409  2017-9-14 0.0.0.0  PONU1385155  401038  N.A. "/>
    <s v="ROSL Availed Amount(INR) Scroll Number Scroll Date_x000a_NULL  NULL  NULL  NULL "/>
    <x v="83"/>
    <s v="AWB No. Gateway Port Gateway EGM No. Gateway EGM Date Gateway Site ID Error Code_x000a_N.A.  INNSA1  133453  2017-08-17 00:00:00.0  INNSA1  S "/>
    <x v="1"/>
    <x v="0"/>
  </r>
  <r>
    <x v="0"/>
    <n v="8170873"/>
    <s v="2017/08/22"/>
    <s v="IEC CHA No. Job No. Job Date Port of Discharge Total Package Gross Weight (Kg) FOB(INR) Total Cess (INR) Drawback STR Total (DBK+STR) CIN NO. CIN DT. Reward Flag_x000a_3104003254  AAACA3307KCH003  5536680  22 AUG 2017 12:08  ARBUE  1  15  90073.62  0  2262  0  2262  N.A.  N.A.  Click here to view item wise reward details "/>
    <s v="Current Que LEO Date EP Copy Print Status DBK Scroll No Scroll Date EGM Integration Status_x000a_HIST  04 SEP 2017 00:09  Y  21843/2017  21 SEP 2017 00:09  Y "/>
    <s v="EGM No. EGM Date Container No. Seal No. Error Message_x000a_J207160709  2017-9-7 0.0.0.0  TCNU3029050  401092  N.A. "/>
    <s v="ROSL Availed Amount(INR) Scroll Number Scroll Date_x000a_N  0  ROSL NOT CLAIMED  ROSL NOT CLAIMED "/>
    <x v="84"/>
    <s v="AWB No. Gateway Port Gateway EGM No. Gateway EGM Date Gateway Site ID Error Code_x000a_N.A.  INNSA1  134462  2017-09-04 00:00:00.0  INNSA1  S "/>
    <x v="0"/>
    <x v="0"/>
  </r>
  <r>
    <x v="0"/>
    <n v="8173971"/>
    <s v="2017/08/22"/>
    <s v="IEC CHA No. Job No. Job Date Port of Discharge Total Package Gross Weight (Kg) FOB(INR) Total Cess (INR) Drawback STR Total (DBK+STR) CIN NO. CIN DT. Reward Flag_x000a_0504038966  AARPK1504ACH001  5540056  22 AUG 2017 12:08  DEHAM  2  660  193947.86  0  3879  0  3879  N.A.  N.A.  Click here to view item wise reward details "/>
    <s v="Current Que LEO Date EP Copy Print Status DBK Scroll No Scroll Date EGM Integration Status_x000a_HIST  24 AUG 2017 00:08  Y  21843/2017  21 SEP 2017 00:09  Y "/>
    <s v="EGM No. EGM Date Container No. Seal No. Error Message_x000a_T677920109  2017-9-1 0.0.0.0  CMAU0445325  400284  N.A. "/>
    <s v="ROSL Availed Amount(INR) Scroll Number Scroll Date_x000a_N  0  ROSL NOT CLAIMED  ROSL NOT CLAIMED "/>
    <x v="85"/>
    <s v="AWB No. Gateway Port Gateway EGM No. Gateway EGM Date Gateway Site ID Error Code_x000a_N.A.  INMUN1  134487  2017-09-04 00:00:00.0  INMUN1  S "/>
    <x v="0"/>
    <x v="0"/>
  </r>
  <r>
    <x v="0"/>
    <n v="8180485"/>
    <s v="2017/08/23"/>
    <s v="IEC CHA No. Job No. Job Date Port of Discharge Total Package Gross Weight (Kg) FOB(INR) Total Cess (INR) Drawback STR Total (DBK+STR) CIN NO. CIN DT. Reward Flag_x000a_0505023954  AACFL6638BCH001  5547103  23 AUG 2017 12:08  BEANR  3  150  891549.91  0  0  0  0  N.A.  N.A.  Click here to view item wise reward details "/>
    <s v="Current Que LEO Date EP Copy Print Status DBK Scroll No Scroll Date EGM Integration Status_x000a_HIST  24 AUG 2017 00:08  Y  N.A.  N.A.  Y "/>
    <s v="EGM No. EGM Date Container No. Seal No. Error Message_x000a_R267422908  2017-8-29 0.0.0.0  WHLU5156390  400214  N.A. "/>
    <s v="ROSL Availed Amount(INR) Scroll Number Scroll Date_x000a_NULL  NULL  NULL  NULL "/>
    <x v="86"/>
    <s v="AWB No. Gateway Port Gateway EGM No. Gateway EGM Date Gateway Site ID Error Code_x000a_N.A.  INNSA1  N.A.  N.A.  N.A.  N.A. "/>
    <x v="1"/>
    <x v="0"/>
  </r>
  <r>
    <x v="0"/>
    <n v="8190870"/>
    <s v="2017/08/23"/>
    <s v="IEC CHA No. Job No. Job Date Port of Discharge Total Package Gross Weight (Kg) FOB(INR) Total Cess (INR) Drawback STR Total (DBK+STR) CIN NO. CIN DT. Reward Flag_x000a_0505000873  AOWPS6493KCH001  5558202  23 AUG 2017 12:08  MYPKG  4  3410  809907.53  0  16198  0  16198  N.A.  N.A.  Click here to view item wise reward details "/>
    <s v="Current Que LEO Date EP Copy Print Status DBK Scroll No Scroll Date EGM Integration Status_x000a_HIST  26 AUG 2017 00:08  Y  21843/2017  21 SEP 2017 00:09  Y "/>
    <s v="EGM No. EGM Date Container No. Seal No. Error Message_x000a_R507320309  2017-9-3 0.0.0.0  YMLU3007152  401008  N.A. "/>
    <s v="ROSL Availed Amount(INR) Scroll Number Scroll Date_x000a_N  0  ROSL NOT CLAIMED  ROSL NOT CLAIMED "/>
    <x v="87"/>
    <s v="AWB No. Gateway Port Gateway EGM No. Gateway EGM Date Gateway Site ID Error Code_x000a_N.A.  INNSA1  N.A.  N.A.  N.A.  N.A. "/>
    <x v="0"/>
    <x v="0"/>
  </r>
  <r>
    <x v="0"/>
    <n v="8201692"/>
    <s v="2017/08/24"/>
    <s v="IEC CHA No. Job No. Job Date Port of Discharge Total Package Gross Weight (Kg) FOB(INR) Total Cess (INR) Drawback STR Total (DBK+STR) CIN NO. CIN DT. Reward Flag_x000a_0507042034  AALFA6988NCH001  5569861  24 AUG 2017 12:08  ILASH  633  17406.6  2535422.66  0  38031  0  38031  N.A.  N.A.  Click here to view item wise reward details "/>
    <s v="Current Que LEO Date EP Copy Print Status DBK Scroll No Scroll Date EGM Integration Status_x000a_HIST  25 AUG 2017 00:08  Y  21652/2017  14 SEP 2017 00:09  Y "/>
    <s v="EGM No. EGM Date Container No. Seal No. Error Message_x000a_J247502908  2017-8-29 0.0.0.0  CRSU1065595  400161  N.A. "/>
    <s v="ROSL Availed Amount(INR) Scroll Number Scroll Date_x000a_N  0  ROSL NOT CLAIMED  ROSL NOT CLAIMED "/>
    <x v="88"/>
    <s v="AWB No. Gateway Port Gateway EGM No. Gateway EGM Date Gateway Site ID Error Code_x000a_N.A.  INMUN1  133789  2017-08-23 00:00:00.0  INMUN1  S "/>
    <x v="0"/>
    <x v="25"/>
  </r>
  <r>
    <x v="0"/>
    <n v="8204016"/>
    <s v="2017/08/24"/>
    <s v="IEC CHA No. Job No. Job Date Port of Discharge Total Package Gross Weight (Kg) FOB(INR) Total Cess (INR) Drawback STR Total (DBK+STR) CIN NO. CIN DT. Reward Flag_x000a_0510085423  AHDPK8975CCH001  5572365  24 AUG 2017 12:08  LVRIX  16  148.8  36214.09  0  3220  0  3220  N.A.  N.A.  Click here to view item wise reward details "/>
    <s v="Current Que LEO Date EP Copy Print Status DBK Scroll No Scroll Date EGM Integration Status_x000a_HIST  26 AUG 2017 00:08  Y  21843/2017  21 SEP 2017 00:09  Y "/>
    <s v="EGM No. EGM Date Container No. Seal No. Error Message_x000a_T987883108  2017-8-31 0.0.0.0  FSCU9016795  400271  N.A. "/>
    <s v="ROSL Availed Amount(INR) Scroll Number Scroll Date_x000a_N  0  ROSL NOT CLAIMED  ROSL NOT CLAIMED "/>
    <x v="89"/>
    <s v="AWB No. Gateway Port Gateway EGM No. Gateway EGM Date Gateway Site ID Error Code_x000a_N.A.  INNSA1  N.A.  N.A.  N.A.  N.A. "/>
    <x v="0"/>
    <x v="0"/>
  </r>
  <r>
    <x v="0"/>
    <n v="8216051"/>
    <s v="2017/08/24"/>
    <s v="IEC CHA No. Job No. Job Date Port of Discharge Total Package Gross Weight (Kg) FOB(INR) Total Cess (INR) Drawback STR Total (DBK+STR) CIN NO. CIN DT. Reward Flag_x000a_AAKFN5762C  AADCA0273BCH001  5585306  24 AUG 2017 12:08  NZAKL  3  87  35214.75  0  0  0  0  N.A.  N.A.  Click here to view item wise reward details "/>
    <s v="Current Que LEO Date EP Copy Print Status DBK Scroll No Scroll Date EGM Integration Status_x000a_HIST  29 AUG 2017 00:08  Y  N.A.  N.A.  Y "/>
    <s v="EGM No. EGM Date Container No. Seal No. Error Message_x000a_R87120209  2017-9-2 0.0.0.0  TCNU9495631  401027  N.A. "/>
    <s v="ROSL Availed Amount(INR) Scroll Number Scroll Date_x000a_N  0  ROSL NOT CLAIMED  ROSL NOT CLAIMED "/>
    <x v="90"/>
    <s v="AWB No. Gateway Port Gateway EGM No. Gateway EGM Date Gateway Site ID Error Code_x000a_N.A.  INNSA1  134167  2017-08-29 00:00:00.0  INNSA1  S "/>
    <x v="0"/>
    <x v="26"/>
  </r>
  <r>
    <x v="0"/>
    <n v="8216744"/>
    <s v="2017/08/24"/>
    <s v="IEC CHA No. Job No. Job Date Port of Discharge Total Package Gross Weight (Kg) FOB(INR) Total Cess (INR) Drawback STR Total (DBK+STR) CIN NO. CIN DT. Reward Flag_x000a_0591046270  ADWPT4152FCH001  5585990  24 AUG 2017 12:08  NGAPP  541  40313  7116296.93  0  111917  0  111917  N.A.  N.A.  Click here to view item wise reward details "/>
    <s v="Current Que LEO Date EP Copy Print Status DBK Scroll No Scroll Date EGM Integration Status_x000a_HIST  04 SEP 2017 00:09  Y  21843/2017  21 SEP 2017 00:09  Y "/>
    <s v="EGM No. EGM Date Container No. Seal No. Error Message_x000a_R967440909  2017-9-9 0.0.0.0  TRHU2939342  401884  N.A. "/>
    <s v="ROSL Availed Amount(INR) Scroll Number Scroll Date_x000a_N  0  ROSL NOT CLAIMED  ROSL NOT CLAIMED "/>
    <x v="91"/>
    <s v="AWB No. Gateway Port Gateway EGM No. Gateway EGM Date Gateway Site ID Error Code_x000a_N.A.  INMUN1  135378  2017-09-19 00:00:00.0  INMUN1  S "/>
    <x v="0"/>
    <x v="0"/>
  </r>
  <r>
    <x v="0"/>
    <n v="8220992"/>
    <s v="2017/08/24"/>
    <s v="IEC CHA No. Job No. Job Date Port of Discharge Total Package Gross Weight (Kg) FOB(INR) Total Cess (INR) Drawback STR Total (DBK+STR) CIN NO. CIN DT. Reward Flag_x000a_0508074321  AAGCS0053ECH003  5590629  24 AUG 2017 12:08  KEMBA  714  23222  1050935.04  0  35668  0  35668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NYKU3374976  400579  N.A. "/>
    <s v="ROSL Availed Amount(INR) Scroll Number Scroll Date_x000a_N  0  ROSL NOT CLAIMED  ROSL NOT CLAIMED "/>
    <x v="92"/>
    <s v="AWB No. Gateway Port Gateway EGM No. Gateway EGM Date Gateway Site ID Error Code_x000a_N.A.  INPAV1  134074  2017-08-28 00:00:00.0  INPAV1  S "/>
    <x v="0"/>
    <x v="27"/>
  </r>
  <r>
    <x v="0"/>
    <n v="8222240"/>
    <s v="2017/08/24"/>
    <s v="IEC CHA No. Job No. Job Date Port of Discharge Total Package Gross Weight (Kg) FOB(INR) Total Cess (INR) Drawback STR Total (DBK+STR) CIN NO. CIN DT. Reward Flag_x000a_0510059732  ANQPS8605JCH001  5592172  24 AUG 2017 12:08  IRBND  28  222  233800.56  0  0  0  0  N.A.  N.A.  Click here to view item wise reward details "/>
    <s v="Current Que LEO Date EP Copy Print Status DBK Scroll No Scroll Date EGM Integration Status_x000a_HIST  26 AUG 2017 00:08  Y  N.A.  N.A.  Y "/>
    <s v="EGM No. EGM Date Container No. Seal No. Error Message_x000a_R577683008  2017-8-30 0.0.0.0  BAXU2611948  400226  N.A. "/>
    <s v="ROSL Availed Amount(INR) Scroll Number Scroll Date_x000a_NULL  NULL  NULL  NULL "/>
    <x v="93"/>
    <s v="AWB No. Gateway Port Gateway EGM No. Gateway EGM Date Gateway Site ID Error Code_x000a_N.A.  INMUN1  140358  2017-12-08 00:00:00.0  INMUN1  ST "/>
    <x v="1"/>
    <x v="0"/>
  </r>
  <r>
    <x v="0"/>
    <n v="8228343"/>
    <s v="2017/08/24"/>
    <s v="IEC CHA No. Job No. Job Date Port of Discharge Total Package Gross Weight (Kg) FOB(INR) Total Cess (INR) Drawback STR Total (DBK+STR) CIN NO. CIN DT. Reward Flag_x000a_0500075158  ADXPJ1610RCH001  5598583  24 AUG 2017 12:08  USBOS  13  138  352972.35  0  34354  0  34354  N.A.  N.A.  Click here to view item wise reward details "/>
    <s v="Current Que LEO Date EP Copy Print Status DBK Scroll No Scroll Date EGM Integration Status_x000a_HIST  26 AUG 2017 00:08  Y  24432/2018  25 MAR 2018 00:03  Y "/>
    <s v="EGM No. EGM Date Container No. Seal No. Error Message_x000a_J207823108  2017-8-31 0.0.0.0  OOCU6867324  400241  N.A. "/>
    <s v="ROSL Availed Amount(INR) Scroll Number Scroll Date_x000a_Y  9464  25934/2018  2018-3-20 0.0.0.0 "/>
    <x v="94"/>
    <s v="AWB No. Gateway Port Gateway EGM No. Gateway EGM Date Gateway Site ID Error Code_x000a_N.A.  INMUN1  134796  2017-09-08 00:00:00.0  INMUN1  S "/>
    <x v="2"/>
    <x v="0"/>
  </r>
  <r>
    <x v="0"/>
    <n v="8234289"/>
    <s v="2017/08/25"/>
    <s v="IEC CHA No. Job No. Job Date Port of Discharge Total Package Gross Weight (Kg) FOB(INR) Total Cess (INR) Drawback STR Total (DBK+STR) CIN NO. CIN DT. Reward Flag_x000a_0507001061  AAECB3928MCH001  5605058  25 AUG 2017 12:08  DKAAR  3  1170  370500  0  5250  0  5250  N.A.  N.A.  Click here to view item wise reward details "/>
    <s v="Current Que LEO Date EP Copy Print Status DBK Scroll No Scroll Date EGM Integration Status_x000a_HIST  29 AUG 2017 00:08  Y  21843/2017  21 SEP 2017 00:09  Y "/>
    <s v="EGM No. EGM Date Container No. Seal No. Error Message_x000a_R1477100209  2017-9-2 0.0.0.0  SUDU1912157  401025  N.A. "/>
    <s v="ROSL Availed Amount(INR) Scroll Number Scroll Date_x000a_N  0  ROSL NOT CLAIMED  ROSL NOT CLAIMED "/>
    <x v="95"/>
    <s v="AWB No. Gateway Port Gateway EGM No. Gateway EGM Date Gateway Site ID Error Code_x000a_N.A.  INMUN1  134487  2017-09-04 00:00:00.0  INMUN1  S "/>
    <x v="0"/>
    <x v="28"/>
  </r>
  <r>
    <x v="0"/>
    <n v="8235656"/>
    <s v="2017/08/25"/>
    <s v="IEC CHA No. Job No. Job Date Port of Discharge Total Package Gross Weight (Kg) FOB(INR) Total Cess (INR) Drawback STR Total (DBK+STR) CIN NO. CIN DT. Reward Flag_x000a_0510064663  ADMPC7074KCH001  5606562  25 AUG 2017 12:08  ZAJNB  450  8262.5  3118443.14  0  279716  0  279716  N.A.  N.A.  Click here to view item wise reward details "/>
    <s v="Current Que LEO Date EP Copy Print Status DBK Scroll No Scroll Date EGM Integration Status_x000a_HIST  01 SEP 2017 00:09  Y  21843/2017  21 SEP 2017 00:09  Y "/>
    <s v="EGM No. EGM Date Container No. Seal No. Error Message_x000a_R487220809  2017-9-8 0.0.0.0  TCLU5962520  401218  N.A. "/>
    <s v="ROSL Availed Amount(INR) Scroll Number Scroll Date_x000a_Y  73774  25637/2017  2017-9-20 0.0.0.0 "/>
    <x v="96"/>
    <s v="AWB No. Gateway Port Gateway EGM No. Gateway EGM Date Gateway Site ID Error Code_x000a_N.A.  INMUN1  134795  2017-09-08 00:00:00.0  INMUN1  S "/>
    <x v="2"/>
    <x v="29"/>
  </r>
  <r>
    <x v="0"/>
    <n v="8239122"/>
    <s v="2017/08/25"/>
    <s v="IEC CHA No. Job No. Job Date Port of Discharge Total Package Gross Weight (Kg) FOB(INR) Total Cess (INR) Drawback STR Total (DBK+STR) CIN NO. CIN DT. Reward Flag_x000a_AAHCC0755A  BTLPP6279BCH001  5610323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39128"/>
    <s v="2017/08/25"/>
    <s v="IEC CHA No. Job No. Job Date Port of Discharge Total Package Gross Weight (Kg) FOB(INR) Total Cess (INR) Drawback STR Total (DBK+STR) CIN NO. CIN DT. Reward Flag_x000a_AAHCC0755A  BTLPP6279BCH001  5610310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39129"/>
    <s v="2017/08/25"/>
    <s v="IEC CHA No. Job No. Job Date Port of Discharge Total Package Gross Weight (Kg) FOB(INR) Total Cess (INR) Drawback STR Total (DBK+STR) CIN NO. CIN DT. Reward Flag_x000a_AAHCC0755A  BTLPP6279BCH001  5610328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41970"/>
    <s v="2017/08/25"/>
    <s v="IEC CHA No. Job No. Job Date Port of Discharge Total Package Gross Weight (Kg) FOB(INR) Total Cess (INR) Drawback STR Total (DBK+STR) CIN NO. CIN DT. Reward Flag_x000a_AAHCC0755A  BTLPP6279BCH001  5613414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x v="98"/>
    <s v="AWB No. Gateway Port Gateway EGM No. Gateway EGM Date Gateway Site ID Error Code_x000a_N.A.  INPAV1  132218  2017-07-26 00:00:00.0  INPAV1  S "/>
    <x v="2"/>
    <x v="0"/>
  </r>
  <r>
    <x v="0"/>
    <n v="8241971"/>
    <s v="2017/08/25"/>
    <s v="IEC CHA No. Job No. Job Date Port of Discharge Total Package Gross Weight (Kg) FOB(INR) Total Cess (INR) Drawback STR Total (DBK+STR) CIN NO. CIN DT. Reward Flag_x000a_AAHCC0755A  BTLPP6279BCH001  5613413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x v="98"/>
    <s v="AWB No. Gateway Port Gateway EGM No. Gateway EGM Date Gateway Site ID Error Code_x000a_N.A.  INPAV1  132218  2017-07-26 00:00:00.0  INPAV1  S "/>
    <x v="2"/>
    <x v="0"/>
  </r>
  <r>
    <x v="0"/>
    <n v="8241978"/>
    <s v="2017/08/25"/>
    <s v="IEC CHA No. Job No. Job Date Port of Discharge Total Package Gross Weight (Kg) FOB(INR) Total Cess (INR) Drawback STR Total (DBK+STR) CIN NO. CIN DT. Reward Flag_x000a_AAHCC0755A  BTLPP6279BCH001  5613421  25 AUG 2017 12:08  AEJEA  54  2268  6242185.62  0  611735  0  611735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187266  25635/2017  2017-9-15 0.0.0.0 "/>
    <x v="99"/>
    <s v="AWB No. Gateway Port Gateway EGM No. Gateway EGM Date Gateway Site ID Error Code_x000a_N.A.  INPAV1  132218  2017-07-26 00:00:00.0  INPAV1  S "/>
    <x v="2"/>
    <x v="0"/>
  </r>
  <r>
    <x v="0"/>
    <n v="8247826"/>
    <s v="2017/08/26"/>
    <s v="IEC CHA No. Job No. Job Date Port of Discharge Total Package Gross Weight (Kg) FOB(INR) Total Cess (INR) Drawback STR Total (DBK+STR) CIN NO. CIN DT. Reward Flag_x000a_0512081786  AAACT0334RCH001  5619782  26 AUG 2017 12:08  AEJEA  720  7632  692239.5  0  48457  0  48457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MRKU5421562  400543  N.A. "/>
    <s v="ROSL Availed Amount(INR) Scroll Number Scroll Date_x000a_N  0  ROSL NOT CLAIMED  ROSL NOT CLAIMED "/>
    <x v="100"/>
    <s v="AWB No. Gateway Port Gateway EGM No. Gateway EGM Date Gateway Site ID Error Code_x000a_N.A.  INPAV1  134066  2017-08-28 00:00:00.0  INPAV1  S "/>
    <x v="0"/>
    <x v="0"/>
  </r>
  <r>
    <x v="0"/>
    <n v="8249349"/>
    <s v="2017/08/26"/>
    <s v="IEC CHA No. Job No. Job Date Port of Discharge Total Package Gross Weight (Kg) FOB(INR) Total Cess (INR) Drawback STR Total (DBK+STR) CIN NO. CIN DT. Reward Flag_x000a_0510056601  AAIPJ7016KCH001  5621469  26 AUG 2017 12:08  THLCH  1  880  624982.5  0  3320  0  3320  N.A.  N.A.  Click here to view item wise reward details "/>
    <s v="Current Que LEO Date EP Copy Print Status DBK Scroll No Scroll Date EGM Integration Status_x000a_HIST  30 AUG 2017 00:08  Y  21843/2017  21 SEP 2017 00:09  Y "/>
    <s v="EGM No. EGM Date Container No. Seal No. Error Message_x000a_J277920609  2017-9-6 0.0.0.0  GVCU2190150  404072  N.A. "/>
    <s v="ROSL Availed Amount(INR) Scroll Number Scroll Date_x000a_N  0  ROSL NOT CLAIMED  ROSL NOT CLAIMED "/>
    <x v="101"/>
    <s v="AWB No. Gateway Port Gateway EGM No. Gateway EGM Date Gateway Site ID Error Code_x000a_N.A.  INNSA1  N.A.  N.A.  N.A.  N.A. "/>
    <x v="0"/>
    <x v="0"/>
  </r>
  <r>
    <x v="0"/>
    <n v="8263241"/>
    <s v="2017/08/26"/>
    <s v="IEC CHA No. Job No. Job Date Port of Discharge Total Package Gross Weight (Kg) FOB(INR) Total Cess (INR) Drawback STR Total (DBK+STR) CIN NO. CIN DT. Reward Flag_x000a_0592023052  AASPK9028QCH001  5636518  26 AUG 2017 12:08  THLCH  14  7652  809303.48  0  16186  0  16186  N.A.  N.A.  Click here to view item wise reward details "/>
    <s v="Current Que LEO Date EP Copy Print Status DBK Scroll No Scroll Date EGM Integration Status_x000a_HIST  30 AUG 2017 00:08  Y  21843/2017  21 SEP 2017 00:09  Y "/>
    <s v="EGM No. EGM Date Container No. Seal No. Error Message_x000a_R87120209  2017-9-2 0.0.0.0  TRHU1951343  401012  N.A. "/>
    <s v="ROSL Availed Amount(INR) Scroll Number Scroll Date_x000a_N  0  ROSL NOT CLAIMED  ROSL NOT CLAIMED "/>
    <x v="102"/>
    <s v="AWB No. Gateway Port Gateway EGM No. Gateway EGM Date Gateway Site ID Error Code_x000a_N.A.  INNSA1  N.A.  N.A.  N.A.  N.A. "/>
    <x v="0"/>
    <x v="0"/>
  </r>
  <r>
    <x v="0"/>
    <n v="8288523"/>
    <s v="2017/08/28"/>
    <s v="IEC CHA No. Job No. Job Date Port of Discharge Total Package Gross Weight (Kg) FOB(INR) Total Cess (INR) Drawback STR Total (DBK+STR) CIN NO. CIN DT. Reward Flag_x000a_0515069272  BTLPP6279BCH001  5663714  28 AUG 2017 12:08  AEJEA  75  1575  5756184  0  564106  0  564106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RKU3880984  400965  N.A. "/>
    <s v="ROSL Availed Amount(INR) Scroll Number Scroll Date_x000a_Y  172686  25635/2017  2017-9-15 0.0.0.0 "/>
    <x v="103"/>
    <s v="AWB No. Gateway Port Gateway EGM No. Gateway EGM Date Gateway Site ID Error Code_x000a_N.A.  INPAV1  132218  2017-07-26 00:00:00.0  INPAV1  S "/>
    <x v="2"/>
    <x v="31"/>
  </r>
  <r>
    <x v="0"/>
    <n v="8290768"/>
    <s v="2017/08/28"/>
    <s v="IEC CHA No. Job No. Job Date Port of Discharge Total Package Gross Weight (Kg) FOB(INR) Total Cess (INR) Drawback STR Total (DBK+STR) CIN NO. CIN DT. Reward Flag_x000a_0517513668  BTLPP6279BCH001  5666170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x v="104"/>
    <s v="AWB No. Gateway Port Gateway EGM No. Gateway EGM Date Gateway Site ID Error Code_x000a_N.A.  INPAV1  132218  2017-07-26 00:00:00.0  INPAV1  S "/>
    <x v="2"/>
    <x v="0"/>
  </r>
  <r>
    <x v="0"/>
    <n v="8290787"/>
    <s v="2017/08/28"/>
    <s v="IEC CHA No. Job No. Job Date Port of Discharge Total Package Gross Weight (Kg) FOB(INR) Total Cess (INR) Drawback STR Total (DBK+STR) CIN NO. CIN DT. Reward Flag_x000a_0517513668  BTLPP6279BCH001  5666158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x v="104"/>
    <s v="AWB No. Gateway Port Gateway EGM No. Gateway EGM Date Gateway Site ID Error Code_x000a_N.A.  INPAV1  132218  2017-07-26 00:00:00.0  INPAV1  S "/>
    <x v="2"/>
    <x v="0"/>
  </r>
  <r>
    <x v="0"/>
    <n v="8304313"/>
    <s v="2017/08/29"/>
    <s v="IEC CHA No. Job No. Job Date Port of Discharge Total Package Gross Weight (Kg) FOB(INR) Total Cess (INR) Drawback STR Total (DBK+STR) CIN NO. CIN DT. Reward Flag_x000a_0505088681  AAJPM0767BCH001  5680836  29 AUG 2017 12:08  AEJEA  21  19494.6  6704608.94  0  70954  0  70954  N.A.  N.A.  Click here to view item wise reward details "/>
    <s v="Current Que LEO Date EP Copy Print Status DBK Scroll No Scroll Date EGM Integration Status_x000a_HIST  01 SEP 2017 00:09  Y  21843/2017  21 SEP 2017 00:09  Y "/>
    <s v="EGM No. EGM Date Container No. Seal No. Error Message_x000a_J477680509  2017-9-5 0.0.0.0  CRXU3303349  401228  N.A. "/>
    <s v="ROSL Availed Amount(INR) Scroll Number Scroll Date_x000a_N  0  ROSL NOT CLAIMED  ROSL NOT CLAIMED "/>
    <x v="105"/>
    <s v="AWB No. Gateway Port Gateway EGM No. Gateway EGM Date Gateway Site ID Error Code_x000a_N.A.  INMUN1  134406  2017-09-01 00:00:00.0  INMUN1  S "/>
    <x v="0"/>
    <x v="0"/>
  </r>
  <r>
    <x v="0"/>
    <n v="8305029"/>
    <s v="2017/08/29"/>
    <s v="IEC CHA No. Job No. Job Date Port of Discharge Total Package Gross Weight (Kg) FOB(INR) Total Cess (INR) Drawback STR Total (DBK+STR) CIN NO. CIN DT. Reward Flag_x000a_0507062884  AYZPP5973GCH001  5681602  29 AUG 2017 12:08  BRSSZ  51  2986  1702937  0  34059  0  34059  N.A.  N.A.  Click here to view item wise reward details "/>
    <s v="Current Que LEO Date EP Copy Print Status DBK Scroll No Scroll Date EGM Integration Status_x000a_HIST  04 SEP 2017 00:09  Y  21843/2017  21 SEP 2017 00:09  Y "/>
    <s v="EGM No. EGM Date Container No. Seal No. Error Message_x000a_J477680509  2017-9-5 0.0.0.0  TRIU9841182  003229  N.A. "/>
    <s v="ROSL Availed Amount(INR) Scroll Number Scroll Date_x000a_N  0  ROSL NOT CLAIMED  ROSL NOT CLAIMED "/>
    <x v="106"/>
    <s v="AWB No. Gateway Port Gateway EGM No. Gateway EGM Date Gateway Site ID Error Code_x000a_N.A.  INMUN1  134923  2017-09-12 00:00:00.0  INMUN1  S "/>
    <x v="0"/>
    <x v="22"/>
  </r>
  <r>
    <x v="0"/>
    <n v="8322996"/>
    <s v="2017/08/30"/>
    <s v="IEC CHA No. Job No. Job Date Port of Discharge Total Package Gross Weight (Kg) FOB(INR) Total Cess (INR) Drawback STR Total (DBK+STR) CIN NO. CIN DT. Reward Flag_x000a_0509003061  AAECB3928MCH001  5701029  30 AUG 2017 12:08  USCVG  4  640  337277.35  0  6746  0  6746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N  0  ROSL NOT CLAIMED  ROSL NOT CLAIMED "/>
    <x v="107"/>
    <s v="AWB No. Gateway Port Gateway EGM No. Gateway EGM Date Gateway Site ID Error Code_x000a_N.A.  INMUN1  132131  2017-07-25 00:00:00.0  INMUN1  S "/>
    <x v="0"/>
    <x v="28"/>
  </r>
  <r>
    <x v="0"/>
    <n v="8323127"/>
    <s v="2017/08/30"/>
    <s v="IEC CHA No. Job No. Job Date Port of Discharge Total Package Gross Weight (Kg) FOB(INR) Total Cess (INR) Drawback STR Total (DBK+STR) CIN NO. CIN DT. Reward Flag_x000a_2416910671  FHMPS1058ECH001  5701162  30 AUG 2017 12:08  USLUA  1  88.3  94223.25  0  0  0  0  N.A.  N.A.  Click here to view item wise reward details "/>
    <s v="Current Que LEO Date EP Copy Print Status DBK Scroll No Scroll Date EGM Integration Status_x000a_HIST  01 SEP 2017 00:09  Y  N.A.  N.A.  Y "/>
    <s v="EGM No. EGM Date Container No. Seal No. Error Message_x000a_J207160709  2017-9-7 0.0.0.0  NYKU5457534  401087  N.A. "/>
    <s v="ROSL Availed Amount(INR) Scroll Number Scroll Date_x000a_NULL  NULL  NULL  NULL "/>
    <x v="108"/>
    <s v="AWB No. Gateway Port Gateway EGM No. Gateway EGM Date Gateway Site ID Error Code_x000a_N.A.  INNSA1  133327  2017-08-16 00:00:00.0  INNSA1  S "/>
    <x v="1"/>
    <x v="32"/>
  </r>
  <r>
    <x v="0"/>
    <n v="8325105"/>
    <s v="2017/08/30"/>
    <s v="IEC CHA No. Job No. Job Date Port of Discharge Total Package Gross Weight (Kg) FOB(INR) Total Cess (INR) Drawback STR Total (DBK+STR) CIN NO. CIN DT. Reward Flag_x000a_0595021255  AALCS5528DCH001  5703293  30 AUG 2017 12:08  MXZLO  6  3680  719776.8  0  14396  0  14396  N.A.  N.A.  Click here to view item wise reward details "/>
    <s v="Current Que LEO Date EP Copy Print Status DBK Scroll No Scroll Date EGM Integration Status_x000a_HIST  01 SEP 2017 00:09  Y  24432/2018  25 MAR 2018 00:03  Y "/>
    <s v="EGM No. EGM Date Container No. Seal No. Error Message_x000a_R1477641709  2017-9-17 0.0.0.0  TTNU9450840  402656  N.A. "/>
    <s v="ROSL Availed Amount(INR) Scroll Number Scroll Date_x000a_N  0  ROSL NOT CLAIMED  ROSL NOT CLAIMED "/>
    <x v="109"/>
    <s v="AWB No. Gateway Port Gateway EGM No. Gateway EGM Date Gateway Site ID Error Code_x000a_N.A.  INNSA1  135507  2017-09-21 00:00:00.0  INNSA1  S "/>
    <x v="0"/>
    <x v="0"/>
  </r>
  <r>
    <x v="0"/>
    <n v="8338701"/>
    <s v="2017/08/30"/>
    <s v="IEC CHA No. Job No. Job Date Port of Discharge Total Package Gross Weight (Kg) FOB(INR) Total Cess (INR) Drawback STR Total (DBK+STR) CIN NO. CIN DT. Reward Flag_x000a_1308012381  AEOPA9390KCH001  5718032  30 AUG 2017 12:08  JPNGY  2  496.5  770850  0  15417  0  15417  N.A.  N.A.  Click here to view item wise reward details "/>
    <s v="Current Que LEO Date EP Copy Print Status DBK Scroll No Scroll Date EGM Integration Status_x000a_HIST  01 SEP 2017 00:09  Y  21843/2017  21 SEP 2017 00:09  Y "/>
    <s v="EGM No. EGM Date Container No. Seal No. Error Message_x000a_TX187901209  2017-9-12 0.0.0.0  BMOU2854715  402096  N.A. "/>
    <s v="ROSL Availed Amount(INR) Scroll Number Scroll Date_x000a_N  0  ROSL NOT CLAIMED  ROSL NOT CLAIMED "/>
    <x v="110"/>
    <s v="AWB No. Gateway Port Gateway EGM No. Gateway EGM Date Gateway Site ID Error Code_x000a_N.A.  INPAV1  134495  2017-09-04 00:00:00.0  INPAV1  S "/>
    <x v="0"/>
    <x v="0"/>
  </r>
  <r>
    <x v="0"/>
    <n v="8338807"/>
    <s v="2017/08/30"/>
    <s v="IEC CHA No. Job No. Job Date Port of Discharge Total Package Gross Weight (Kg) FOB(INR) Total Cess (INR) Drawback STR Total (DBK+STR) CIN NO. CIN DT. Reward Flag_x000a_0516954725  AAACC6689ECH001  5718150  30 AUG 2017 12:08  OMSOH  10  335  310905  0  0  0  0  N.A.  N.A.  Click here to view item wise reward details "/>
    <s v="Current Que LEO Date EP Copy Print Status DBK Scroll No Scroll Date EGM Integration Status_x000a_HIST  05 SEP 2017 00:09  Y  N.A.  N.A.  Y "/>
    <s v="EGM No. EGM Date Container No. Seal No. Error Message_x000a_R587480909  2017-9-9 0.0.0.0  CAIU8999547  402029  N.A. "/>
    <s v="ROSL Availed Amount(INR) Scroll Number Scroll Date_x000a_NULL  NULL  NULL  NULL "/>
    <x v="111"/>
    <s v="AWB No. Gateway Port Gateway EGM No. Gateway EGM Date Gateway Site ID Error Code_x000a_N.A.  INMUN1  134870  2017-09-11 00:00:00.0  INMUN1  S "/>
    <x v="1"/>
    <x v="0"/>
  </r>
  <r>
    <x v="0"/>
    <n v="8338839"/>
    <s v="2017/08/30"/>
    <s v="IEC CHA No. Job No. Job Date Port of Discharge Total Package Gross Weight (Kg) FOB(INR) Total Cess (INR) Drawback STR Total (DBK+STR) CIN NO. CIN DT. Reward Flag_x000a_0592023052  AACCP0287DCH001  5718172  30 AUG 2017 12:08  USNNY  22  8958.4  1942666.42  0  38853  0  38853  N.A.  N.A.  Click here to view item wise reward details "/>
    <s v="Current Que LEO Date EP Copy Print Status DBK Scroll No Scroll Date EGM Integration Status_x000a_HIST  05 SEP 2017 00:09  Y  21843/2017  21 SEP 2017 00:09  Y "/>
    <s v="EGM No. EGM Date Container No. Seal No. Error Message_x000a_R917840609  2017-9-6 0.0.0.0  MSKU3385339  031724  N.A. "/>
    <s v="ROSL Availed Amount(INR) Scroll Number Scroll Date_x000a_N  0  ROSL NOT CLAIMED  ROSL NOT CLAIMED "/>
    <x v="112"/>
    <s v="AWB No. Gateway Port Gateway EGM No. Gateway EGM Date Gateway Site ID Error Code_x000a_N.A.  INPAV1  134667  2017-09-07 00:00:00.0  INMAA1  MC "/>
    <x v="0"/>
    <x v="0"/>
  </r>
  <r>
    <x v="0"/>
    <n v="8340706"/>
    <s v="2017/08/30"/>
    <s v="IEC CHA No. Job No. Job Date Port of Discharge Total Package Gross Weight (Kg) FOB(INR) Total Cess (INR) Drawback STR Total (DBK+STR) CIN NO. CIN DT. Reward Flag_x000a_0507081668  AOFPS8466PCH001  5720175  30 AUG 2017 12:08  YEADE  5  84  670086.3  0  13245  0  13245  N.A.  N.A.  Click here to view item wise reward details "/>
    <s v="Current Que LEO Date EP Copy Print Status DBK Scroll No Scroll Date EGM Integration Status_x000a_HIST  06 SEP 2017 00:09  Y  21843/2017  21 SEP 2017 00:09  Y "/>
    <s v="EGM No. EGM Date Container No. Seal No. Error Message_x000a_T707360909  2017-9-9 0.0.0.0  CAXU9973575  402040  N.A. "/>
    <s v="ROSL Availed Amount(INR) Scroll Number Scroll Date_x000a_N  0  ROSL NOT CLAIMED  ROSL NOT CLAIMED "/>
    <x v="113"/>
    <s v="AWB No. Gateway Port Gateway EGM No. Gateway EGM Date Gateway Site ID Error Code_x000a_N.A.  INNSA1  137304  2017-10-23 00:00:00.0  INNSA1  S "/>
    <x v="0"/>
    <x v="0"/>
  </r>
  <r>
    <x v="0"/>
    <n v="8348694"/>
    <s v="2017/08/31"/>
    <s v="IEC CHA No. Job No. Job Date Port of Discharge Total Package Gross Weight (Kg) FOB(INR) Total Cess (INR) Drawback STR Total (DBK+STR) CIN NO. CIN DT. Reward Flag_x000a_0595012647  AAACC6689ECH001  5728705  31 AUG 2017 12:08  PKKHI  3464  46749  7708850.14  0  115633  0  115633  N.A.  N.A.  Click here to view item wise reward details "/>
    <s v="Current Que LEO Date EP Copy Print Status DBK Scroll No Scroll Date EGM Integration Status_x000a_HIST  08 SEP 2017 00:09  Y  21843/2017  21 SEP 2017 00:09  Y "/>
    <s v="EGM No. EGM Date Container No. Seal No. Error Message_x000a_R587480909  2017-9-9 0.0.0.0  BMOU6357717  001864  N.A. "/>
    <s v="ROSL Availed Amount(INR) Scroll Number Scroll Date_x000a_N  0  ROSL NOT CLAIMED  ROSL NOT CLAIMED "/>
    <x v="114"/>
    <s v="AWB No. Gateway Port Gateway EGM No. Gateway EGM Date Gateway Site ID Error Code_x000a_N.A.  INMUN1  134209  2017-08-30 00:00:00.0  INMUN1  S "/>
    <x v="0"/>
    <x v="0"/>
  </r>
  <r>
    <x v="0"/>
    <n v="8361009"/>
    <s v="2017/08/31"/>
    <s v="IEC CHA No. Job No. Job Date Port of Discharge Total Package Gross Weight (Kg) FOB(INR) Total Cess (INR) Drawback STR Total (DBK+STR) CIN NO. CIN DT. Reward Flag_x000a_0500075158  ADXPJ1610RCH001  5741989  31 AUG 2017 12:08  USBOS  9  122  157324.28  0  12113  0  12113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Y  5034  25637/2017  2017-9-20 0.0.0.0 "/>
    <x v="115"/>
    <s v="AWB No. Gateway Port Gateway EGM No. Gateway EGM Date Gateway Site ID Error Code_x000a_N.A.  INMUN1  132131  2017-07-25 00:00:00.0  INMUN1  S "/>
    <x v="2"/>
    <x v="0"/>
  </r>
  <r>
    <x v="0"/>
    <n v="8371290"/>
    <s v="2017/08/31"/>
    <s v="IEC CHA No. Job No. Job Date Port of Discharge Total Package Gross Weight (Kg) FOB(INR) Total Cess (INR) Drawback STR Total (DBK+STR) CIN NO. CIN DT. Reward Flag_x000a_0508073324  AAACG3100CCH001  5753042  31 AUG 2017 12:08  NLRTM  64  713.19  1076457.37  0  19714  0  19714  N.A.  N.A.  Click here to view item wise reward details "/>
    <s v="Current Que LEO Date EP Copy Print Status DBK Scroll No Scroll Date EGM Integration Status_x000a_HIST  04 SEP 2017 00:09  Y  21843/2017  21 SEP 2017 00:09  Y "/>
    <s v="EGM No. EGM Date Container No. Seal No. Error Message_x000a_R827781109  2017-9-11 0.0.0.0  GLDU5619874  402076  N.A. "/>
    <s v="ROSL Availed Amount(INR) Scroll Number Scroll Date_x000a_N  0  ROSL NOT CLAIMED  ROSL NOT CLAIMED "/>
    <x v="116"/>
    <s v="AWB No. Gateway Port Gateway EGM No. Gateway EGM Date Gateway Site ID Error Code_x000a_N.A.  INNSA1  134500  2017-09-04 00:00:00.0  INNSA1  STC "/>
    <x v="0"/>
    <x v="0"/>
  </r>
  <r>
    <x v="0"/>
    <n v="8375057"/>
    <s v="2017/08/31"/>
    <s v="IEC CHA No. Job No. Job Date Port of Discharge Total Package Gross Weight (Kg) FOB(INR) Total Cess (INR) Drawback STR Total (DBK+STR) CIN NO. CIN DT. Reward Flag_x000a_0506035182  AFYPK1878FCH001  5757084  31 AUG 2017 12:08  IRBND  536  6822.1  1774782.75  0  26622  0  26622  N.A.  N.A.  Click here to view item wise reward details "/>
    <s v="Current Que LEO Date EP Copy Print Status DBK Scroll No Scroll Date EGM Integration Status_x000a_HIST  07 SEP 2017 00:09  Y  21843/2017  21 SEP 2017 00:09  Y "/>
    <s v="EGM No. EGM Date Container No. Seal No. Error Message_x000a_R717581009  2017-9-10 0.0.0.0  TSAU2702857  402113  N.A. "/>
    <s v="ROSL Availed Amount(INR) Scroll Number Scroll Date_x000a_N  0  ROSL NOT CLAIMED  ROSL NOT CLAIMED "/>
    <x v="117"/>
    <s v="AWB No. Gateway Port Gateway EGM No. Gateway EGM Date Gateway Site ID Error Code_x000a_N.A.  INMUN1  N.A.  N.A.  N.A.  N.A. "/>
    <x v="0"/>
    <x v="33"/>
  </r>
  <r>
    <x v="0"/>
    <n v="8395136"/>
    <s v="2017/09/01"/>
    <s v="IEC CHA No. Job No. Job Date Port of Discharge Total Package Gross Weight (Kg) FOB(INR) Total Cess (INR) Drawback STR Total (DBK+STR) CIN NO. CIN DT. Reward Flag_x000a_0597069948  AAAFJ1721HCH058  5778787  01 SEP 2017 12:09  DKCPH  1  26.5  127452  0  0  0  0  N.A.  N.A.  Click here to view item wise reward details "/>
    <s v="Current Que LEO Date EP Copy Print Status DBK Scroll No Scroll Date EGM Integration Status_x000a_HIST  05 SEP 2017 00:09  Y  N.A.  N.A.  Y "/>
    <s v="EGM No. EGM Date Container No. Seal No. Error Message_x000a_R1117461609  2017-9-16 0.0.0.0  HASU4843951  402672  N.A. "/>
    <s v="ROSL Availed Amount(INR) Scroll Number Scroll Date_x000a_N  0  ROSL NOT CLAIMED  ROSL NOT CLAIMED "/>
    <x v="118"/>
    <s v="AWB No. Gateway Port Gateway EGM No. Gateway EGM Date Gateway Site ID Error Code_x000a_N.A.  INMUN1  133179  2017-08-11 00:00:00.0  INMUN1  S "/>
    <x v="0"/>
    <x v="34"/>
  </r>
  <r>
    <x v="0"/>
    <n v="8395644"/>
    <s v="2017/09/01"/>
    <s v="IEC CHA No. Job No. Job Date Port of Discharge Total Package Gross Weight (Kg) FOB(INR) Total Cess (INR) Drawback STR Total (DBK+STR) CIN NO. CIN DT. Reward Flag_x000a_1308012381  AADCS9253MCH002  5779425  01 SEP 2017 12:09  DEHAM  131  11339  14020763.33  0  280415  0  280415  N.A.  N.A.  Click here to view item wise reward details "/>
    <s v="Current Que LEO Date EP Copy Print Status DBK Scroll No Scroll Date EGM Integration Status_x000a_HIST  06 SEP 2017 00:09  Y  21843/2017  21 SEP 2017 00:09  Y "/>
    <s v="EGM No. EGM Date Container No. Seal No. Error Message_x000a_T987040709  2017-9-7 0.0.0.0  TCLU5779294  014691  N.A. "/>
    <s v="ROSL Availed Amount(INR) Scroll Number Scroll Date_x000a_N  0  ROSL NOT CLAIMED  ROSL NOT CLAIMED "/>
    <x v="119"/>
    <s v="AWB No. Gateway Port Gateway EGM No. Gateway EGM Date Gateway Site ID Error Code_x000a_N.A.  INMUN1  137035  2017-10-16 00:00:00.0  INMUN1  S "/>
    <x v="0"/>
    <x v="0"/>
  </r>
  <r>
    <x v="0"/>
    <n v="8398137"/>
    <s v="2017/09/01"/>
    <s v="IEC CHA No. Job No. Job Date Port of Discharge Total Package Gross Weight (Kg) FOB(INR) Total Cess (INR) Drawback STR Total (DBK+STR) CIN NO. CIN DT. Reward Flag_x000a_0509056105  AHVPD5199DCH001  5782425  01 SEP 2017 12:09  PLGDY  1  420  188434.82  0  3769  0  3769  N.A.  N.A.  Click here to view item wise reward details "/>
    <s v="Current Que LEO Date EP Copy Print Status DBK Scroll No Scroll Date EGM Integration Status_x000a_HIST  07 SEP 2017 00:09  Y  21843/2017  21 SEP 2017 00:09  Y "/>
    <s v="EGM No. EGM Date Container No. Seal No. Error Message_x000a_R827781109  2017-9-11 0.0.0.0  BAXU5005517  402092  N.A. "/>
    <s v="ROSL Availed Amount(INR) Scroll Number Scroll Date_x000a_N  0  ROSL NOT CLAIMED  ROSL NOT CLAIMED "/>
    <x v="120"/>
    <s v="AWB No. Gateway Port Gateway EGM No. Gateway EGM Date Gateway Site ID Error Code_x000a_N.A.  INNSA1  N.A.  N.A.  N.A.  N.A. "/>
    <x v="0"/>
    <x v="0"/>
  </r>
  <r>
    <x v="0"/>
    <n v="8411392"/>
    <s v="2017/09/02"/>
    <s v="IEC CHA No. Job No. Job Date Port of Discharge Total Package Gross Weight (Kg) FOB(INR) Total Cess (INR) Drawback STR Total (DBK+STR) CIN NO. CIN DT. Reward Flag_x000a_0512072388  AHVPD5199DCH001  5796038  02 SEP 2017 12:09  ZWHRE  271  6053  547672.48  0  0  0  0  N.A.  N.A.  Click here to view item wise reward details "/>
    <s v="Current Que LEO Date EP Copy Print Status DBK Scroll No Scroll Date EGM Integration Status_x000a_HIST  15 SEP 2017 00:09  Y  N.A.  N.A.  Y "/>
    <s v="EGM No. EGM Date Container No. Seal No. Error Message_x000a_J477982609  2017-9-26 0.0.0.0  SEGU1281597  404224  N.A. "/>
    <s v="ROSL Availed Amount(INR) Scroll Number Scroll Date_x000a_NULL  NULL  NULL  NULL "/>
    <x v="121"/>
    <s v="AWB No. Gateway Port Gateway EGM No. Gateway EGM Date Gateway Site ID Error Code_x000a_N.A.  INNSA1  N.A.  N.A.  N.A.  N.A. "/>
    <x v="1"/>
    <x v="0"/>
  </r>
  <r>
    <x v="0"/>
    <n v="8424214"/>
    <s v="2017/09/04"/>
    <s v="IEC CHA No. Job No. Job Date Port of Discharge Total Package Gross Weight (Kg) FOB(INR) Total Cess (INR) Drawback STR Total (DBK+STR) CIN NO. CIN DT. Reward Flag_x000a_0311014879  BEVPS0859HCH001  5809753  04 SEP 2017 12:09  DEHAM  579  8625  1037597.5  0  0  0  0  N.A.  N.A.  Click here to view item wise reward details "/>
    <s v="Current Que LEO Date EP Copy Print Status DBK Scroll No Scroll Date EGM Integration Status_x000a_HIST  05 SEP 2017 00:09  Y  N.A.  N.A.  Y "/>
    <s v="EGM No. EGM Date Container No. Seal No. Error Message_x000a_R687621009  2017-9-10 0.0.0.0  CAXU8041890  402039  N.A. "/>
    <s v="ROSL Availed Amount(INR) Scroll Number Scroll Date_x000a_NULL  NULL  NULL  NULL "/>
    <x v="122"/>
    <s v="AWB No. Gateway Port Gateway EGM No. Gateway EGM Date Gateway Site ID Error Code_x000a_N.A.  INMUN1  134793  2017-09-08 00:00:00.0  INMUN1  C "/>
    <x v="1"/>
    <x v="0"/>
  </r>
  <r>
    <x v="0"/>
    <n v="8424711"/>
    <s v="2017/09/04"/>
    <s v="IEC CHA No. Job No. Job Date Port of Discharge Total Package Gross Weight (Kg) FOB(INR) Total Cess (INR) Drawback STR Total (DBK+STR) CIN NO. CIN DT. Reward Flag_x000a_0505000873  AOWPS6493KCH001  5810306  04 SEP 2017 12:09  THBKK  3  2335  718793.33  0  14376  0  14376  N.A.  N.A.  Click here to view item wise reward details "/>
    <s v="Current Que LEO Date EP Copy Print Status DBK Scroll No Scroll Date EGM Integration Status_x000a_HIST  05 SEP 2017 00:09  Y  21843/2017  21 SEP 2017 00:09  Y "/>
    <s v="EGM No. EGM Date Container No. Seal No. Error Message_x000a_R857260809  2017-9-8 0.0.0.0  BMOU6363160  402005  N.A. "/>
    <s v="ROSL Availed Amount(INR) Scroll Number Scroll Date_x000a_N  0  ROSL NOT CLAIMED  ROSL NOT CLAIMED "/>
    <x v="123"/>
    <s v="AWB No. Gateway Port Gateway EGM No. Gateway EGM Date Gateway Site ID Error Code_x000a_N.A.  INNSA1  134260  2017-08-31 00:00:00.0  INNSA1  S "/>
    <x v="0"/>
    <x v="35"/>
  </r>
  <r>
    <x v="0"/>
    <n v="8425293"/>
    <s v="2017/09/04"/>
    <s v="IEC CHA No. Job No. Job Date Port of Discharge Total Package Gross Weight (Kg) FOB(INR) Total Cess (INR) Drawback STR Total (DBK+STR) CIN NO. CIN DT. Reward Flag_x000a_0516900692  AATPS3087NCH001  5810930  04 SEP 2017 12:09  VNSGN  29  300.7  617495.4  0  9262  0  9262  N.A.  N.A.  Click here to view item wise reward details "/>
    <s v="Current Que LEO Date EP Copy Print Status DBK Scroll No Scroll Date EGM Integration Status_x000a_HIST  14 SEP 2017 00:09  Y  21907/2017  26 SEP 2017 00:09  Y "/>
    <s v="EGM No. EGM Date Container No. Seal No. Error Message_x000a_R577102009  2017-9-20 0.0.0.0  FCIU8912801  403359  N.A. "/>
    <s v="ROSL Availed Amount(INR) Scroll Number Scroll Date_x000a_N  0  ROSL NOT CLAIMED  ROSL NOT CLAIMED "/>
    <x v="124"/>
    <s v="AWB No. Gateway Port Gateway EGM No. Gateway EGM Date Gateway Site ID Error Code_x000a_N.A.  INMUN1  135448  2017-09-20 00:00:00.0  INMUN1  S "/>
    <x v="0"/>
    <x v="36"/>
  </r>
  <r>
    <x v="0"/>
    <n v="8439375"/>
    <s v="2017/09/04"/>
    <s v="IEC CHA No. Job No. Job Date Port of Discharge Total Package Gross Weight (Kg) FOB(INR) Total Cess (INR) Drawback STR Total (DBK+STR) CIN NO. CIN DT. Reward Flag_x000a_AAHCC0755A  BTLPP6279BCH001  5826161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7  N.A. "/>
    <s v="ROSL Availed Amount(INR) Scroll Number Scroll Date_x000a_Y  207223  25637/2017  2017-9-20 0.0.0.0 "/>
    <x v="125"/>
    <s v="AWB No. Gateway Port Gateway EGM No. Gateway EGM Date Gateway Site ID Error Code_x000a_N.A.  INPAV1  134057  2017-08-28 00:00:00.0  INPAV1  S "/>
    <x v="2"/>
    <x v="0"/>
  </r>
  <r>
    <x v="0"/>
    <n v="8439383"/>
    <s v="2017/09/04"/>
    <s v="IEC CHA No. Job No. Job Date Port of Discharge Total Package Gross Weight (Kg) FOB(INR) Total Cess (INR) Drawback STR Total (DBK+STR) CIN NO. CIN DT. Reward Flag_x000a_AAHCC0755A  BTLPP6279BCH001  5826172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9  N.A. "/>
    <s v="ROSL Availed Amount(INR) Scroll Number Scroll Date_x000a_Y  207223  25637/2017  2017-9-20 0.0.0.0 "/>
    <x v="125"/>
    <s v="AWB No. Gateway Port Gateway EGM No. Gateway EGM Date Gateway Site ID Error Code_x000a_N.A.  INPAV1  134057  2017-08-28 00:00:00.0  INPAV1  S "/>
    <x v="2"/>
    <x v="0"/>
  </r>
  <r>
    <x v="0"/>
    <n v="8439422"/>
    <s v="2017/09/04"/>
    <s v="IEC CHA No. Job No. Job Date Port of Discharge Total Package Gross Weight (Kg) FOB(INR) Total Cess (INR) Drawback STR Total (DBK+STR) CIN NO. CIN DT. Reward Flag_x000a_AABCZ1026D  BTLPP6279BCH001  5826209  04 SEP 2017 12:09  AEJEA  84  1764  6849858.96  0  671286  0  671286  N.A.  N.A.  Click here to view item wise reward details "/>
    <s v="Current Que LEO Date EP Copy Print Status DBK Scroll No Scroll Date EGM Integration Status_x000a_HIST  05 SEP 2017 00:09  Y  21843/2017  21 SEP 2017 00:09  Y "/>
    <s v="EGM No. EGM Date Container No. Seal No. Error Message_x000a_R887140709  2017-9-7 0.0.0.0  MSKU1820720  401844  N.A. "/>
    <s v="ROSL Availed Amount(INR) Scroll Number Scroll Date_x000a_Y  205496  25637/2017  2017-9-20 0.0.0.0 "/>
    <x v="126"/>
    <s v="AWB No. Gateway Port Gateway EGM No. Gateway EGM Date Gateway Site ID Error Code_x000a_N.A.  INPAV1  134057  2017-08-28 00:00:00.0  INPAV1  S "/>
    <x v="2"/>
    <x v="0"/>
  </r>
  <r>
    <x v="0"/>
    <n v="8452436"/>
    <s v="2017/09/05"/>
    <s v="IEC CHA No. Job No. Job Date Port of Discharge Total Package Gross Weight (Kg) FOB(INR) Total Cess (INR) Drawback STR Total (DBK+STR) CIN NO. CIN DT. Reward Flag_x000a_0616907401  AACCP0287DCH001  5840247  05 SEP 2017 12:09  CAVAN  11  231.71  54380  0  816  0  816  N.A.  N.A.  Click here to view item wise reward details "/>
    <s v="Current Que LEO Date EP Copy Print Status DBK Scroll No Scroll Date EGM Integration Status_x000a_HIST  12 SEP 2017 00:09  Y  22032/2017  06 OCT 2017 00:10  Y "/>
    <s v="EGM No. EGM Date Container No. Seal No. Error Message_x000a_R137262109  2017-9-21 0.0.0.0  DFSU2836647  403366  N.A. "/>
    <s v="ROSL Availed Amount(INR) Scroll Number Scroll Date_x000a_N  0  ROSL NOT CLAIMED  ROSL NOT CLAIMED "/>
    <x v="127"/>
    <s v="AWB No. Gateway Port Gateway EGM No. Gateway EGM Date Gateway Site ID Error Code_x000a_N.A.  INNSA1  135068  2017-09-14 00:00:00.0  INNSA1  S "/>
    <x v="0"/>
    <x v="37"/>
  </r>
  <r>
    <x v="0"/>
    <n v="8457825"/>
    <s v="2017/09/05"/>
    <s v="IEC CHA No. Job No. Job Date Port of Discharge Total Package Gross Weight (Kg) FOB(INR) Total Cess (INR) Drawback STR Total (DBK+STR) CIN NO. CIN DT. Reward Flag_x000a_0516517431  AAEFH1939HCH001  5846093  05 SEP 2017 12:09  ILHFA  4  3346  308969.78  0  6179  0  6179  N.A.  N.A.  Click here to view item wise reward details "/>
    <s v="Current Que LEO Date EP Copy Print Status DBK Scroll No Scroll Date EGM Integration Status_x000a_HIST  08 SEP 2017 00:09  Y  21843/2017  21 SEP 2017 00:09  Y "/>
    <s v="EGM No. EGM Date Container No. Seal No. Error Message_x000a_R827781109  2017-9-11 0.0.0.0  IRNU4551480  402099  N.A. "/>
    <s v="ROSL Availed Amount(INR) Scroll Number Scroll Date_x000a_N  0  ROSL NOT CLAIMED  ROSL NOT CLAIMED "/>
    <x v="128"/>
    <s v="AWB No. Gateway Port Gateway EGM No. Gateway EGM Date Gateway Site ID Error Code_x000a_N.A.  INNSA1  N.A.  N.A.  N.A.  N.A. "/>
    <x v="0"/>
    <x v="0"/>
  </r>
  <r>
    <x v="0"/>
    <n v="8462659"/>
    <s v="2017/09/05"/>
    <s v="IEC CHA No. Job No. Job Date Port of Discharge Total Package Gross Weight (Kg) FOB(INR) Total Cess (INR) Drawback STR Total (DBK+STR) CIN NO. CIN DT. Reward Flag_x000a_0507023722  AANPA2304GCH001  5851341  05 SEP 2017 12:09  LKCMB  42  1060  277911  0  0  0  0  N.A.  N.A.  Click here to view item wise reward details "/>
    <s v="Current Que LEO Date EP Copy Print Status DBK Scroll No Scroll Date EGM Integration Status_x000a_HIST  06 SEP 2017 00:09  Y  N.A.  N.A.  Y "/>
    <s v="EGM No. EGM Date Container No. Seal No. Error Message_x000a_T707360909  2017-9-9 0.0.0.0  BEAU4624635  402036  N.A. "/>
    <s v="ROSL Availed Amount(INR) Scroll Number Scroll Date_x000a_NULL  NULL  NULL  NULL "/>
    <x v="129"/>
    <s v="AWB No. Gateway Port Gateway EGM No. Gateway EGM Date Gateway Site ID Error Code_x000a_N.A.  INNSA1  134462  2017-09-04 00:00:00.0  INNSA1  S "/>
    <x v="1"/>
    <x v="38"/>
  </r>
  <r>
    <x v="0"/>
    <n v="8466834"/>
    <s v="2017/09/05"/>
    <s v="IEC CHA No. Job No. Job Date Port of Discharge Total Package Gross Weight (Kg) FOB(INR) Total Cess (INR) Drawback STR Total (DBK+STR) CIN NO. CIN DT. Reward Flag_x000a_0592023052  AMJPS3049QCH001  5855797  05 SEP 2017 12:09  CNSHA  17  7530  2354180.27  0  47084  0  47084  N.A.  N.A.  Click here to view item wise reward details "/>
    <s v="Current Que LEO Date EP Copy Print Status DBK Scroll No Scroll Date EGM Integration Status_x000a_HIST  06 SEP 2017 00:09  Y  21843/2017  21 SEP 2017 00:09  Y "/>
    <s v="EGM No. EGM Date Container No. Seal No. Error Message_x000a_J207160709  2017-9-7 0.0.0.0  HLBU1502918  000515  N.A. "/>
    <s v="ROSL Availed Amount(INR) Scroll Number Scroll Date_x000a_N  0  ROSL NOT CLAIMED  ROSL NOT CLAIMED "/>
    <x v="130"/>
    <s v="AWB No. Gateway Port Gateway EGM No. Gateway EGM Date Gateway Site ID Error Code_x000a_N.A.  INNSA1  134474  2017-09-04 00:00:00.0  INNSA1  S "/>
    <x v="0"/>
    <x v="0"/>
  </r>
  <r>
    <x v="0"/>
    <n v="8469058"/>
    <s v="2017/09/05"/>
    <s v="IEC CHA No. Job No. Job Date Port of Discharge Total Package Gross Weight (Kg) FOB(INR) Total Cess (INR) Drawback STR Total (DBK+STR) CIN NO. CIN DT. Reward Flag_x000a_0594004373  AAHCR2213ACH001  5858203  05 SEP 2017 12:09  AEJEA  228  5415.465  840043.1  0  12781  0  12781  N.A.  N.A.  Click here to view item wise reward details "/>
    <s v="Current Que LEO Date EP Copy Print Status DBK Scroll No Scroll Date EGM Integration Status_x000a_HIST  08 SEP 2017 00:09  Y  21843/2017  21 SEP 2017 00:09  Y "/>
    <s v="EGM No. EGM Date Container No. Seal No. Error Message_x000a_T417981309  2017-9-13 0.0.0.0  BAXU5064802  402212  N.A. "/>
    <s v="ROSL Availed Amount(INR) Scroll Number Scroll Date_x000a_N  0  ROSL NOT CLAIMED  ROSL NOT CLAIMED "/>
    <x v="131"/>
    <s v="AWB No. Gateway Port Gateway EGM No. Gateway EGM Date Gateway Site ID Error Code_x000a_N.A.  INMUN1  135390  2017-09-19 00:00:00.0  INMUN1  S "/>
    <x v="0"/>
    <x v="0"/>
  </r>
  <r>
    <x v="0"/>
    <n v="8471397"/>
    <s v="2017/09/05"/>
    <s v="IEC CHA No. Job No. Job Date Port of Discharge Total Package Gross Weight (Kg) FOB(INR) Total Cess (INR) Drawback STR Total (DBK+STR) CIN NO. CIN DT. Reward Flag_x000a_0504016865  AADCA0273BCH001  5860740  05 SEP 2017 12:09  SEHEL  784  3292.8  964054.86  0  0  0  0  N.A.  N.A.  Click here to view item wise reward details "/>
    <s v="Current Que LEO Date EP Copy Print Status DBK Scroll No Scroll Date EGM Integration Status_x000a_HIST  11 SEP 2017 00:09  Y  N.A.  N.A.  Y "/>
    <s v="EGM No. EGM Date Container No. Seal No. Error Message_x000a_R517202109  2017-9-21 0.0.0.0  APZU3002351  402539  N.A. "/>
    <s v="ROSL Availed Amount(INR) Scroll Number Scroll Date_x000a_NULL  NULL  NULL  NULL "/>
    <x v="132"/>
    <s v="AWB No. Gateway Port Gateway EGM No. Gateway EGM Date Gateway Site ID Error Code_x000a_N.A.  INMUN1  135378  2017-09-19 00:00:00.0  INMUN1  S "/>
    <x v="1"/>
    <x v="0"/>
  </r>
  <r>
    <x v="0"/>
    <n v="8483178"/>
    <s v="2017/09/06"/>
    <s v="IEC CHA No. Job No. Job Date Port of Discharge Total Package Gross Weight (Kg) FOB(INR) Total Cess (INR) Drawback STR Total (DBK+STR) CIN NO. CIN DT. Reward Flag_x000a_0504064754  FHMPS1058ECH001  5873427  06 SEP 2017 12:09  LKCMB  8  485  724814.73  0  14351  0  14351  N.A.  N.A.  Click here to view item wise reward details "/>
    <s v="Current Que LEO Date EP Copy Print Status DBK Scroll No Scroll Date EGM Integration Status_x000a_HIST  08 SEP 2017 00:09  Y  21843/2017  21 SEP 2017 00:09  Y "/>
    <s v="EGM No. EGM Date Container No. Seal No. Error Message_x000a_T707121409  2017-9-14 0.0.0.0  BEAU4623808  402610  N.A. "/>
    <s v="ROSL Availed Amount(INR) Scroll Number Scroll Date_x000a_N  0  ROSL NOT CLAIMED  ROSL NOT CLAIMED "/>
    <x v="133"/>
    <s v="AWB No. Gateway Port Gateway EGM No. Gateway EGM Date Gateway Site ID Error Code_x000a_N.A.  INNSA1  134875  2017-09-11 00:00:00.0  INNSA1  S "/>
    <x v="0"/>
    <x v="24"/>
  </r>
  <r>
    <x v="0"/>
    <n v="8486246"/>
    <s v="2017/09/06"/>
    <s v="IEC CHA No. Job No. Job Date Port of Discharge Total Package Gross Weight (Kg) FOB(INR) Total Cess (INR) Drawback STR Total (DBK+STR) CIN NO. CIN DT. Reward Flag_x000a_0507062884  AYZPP5973GCH001  5876744  06 SEP 2017 12:09  BRSSZ  50  2011  814769.5  0  16295  0  16295  N.A.  N.A.  Click here to view item wise reward details "/>
    <s v="Current Que LEO Date EP Copy Print Status DBK Scroll No Scroll Date EGM Integration Status_x000a_HIST  07 SEP 2017 00:09  Y  21843/2017  21 SEP 2017 00:09  Y "/>
    <s v="EGM No. EGM Date Container No. Seal No. Error Message_x000a_R667380909  2017-9-9 0.0.0.0  INKU6640898  003234  N.A. "/>
    <s v="ROSL Availed Amount(INR) Scroll Number Scroll Date_x000a_N  0  ROSL NOT CLAIMED  ROSL NOT CLAIMED "/>
    <x v="134"/>
    <s v="AWB No. Gateway Port Gateway EGM No. Gateway EGM Date Gateway Site ID Error Code_x000a_N.A.  INMUN1  134923  2017-09-12 00:00:00.0  INMUN1  S "/>
    <x v="0"/>
    <x v="22"/>
  </r>
  <r>
    <x v="0"/>
    <n v="8488643"/>
    <s v="2017/09/06"/>
    <s v="IEC CHA No. Job No. Job Date Port of Discharge Total Package Gross Weight (Kg) FOB(INR) Total Cess (INR) Drawback STR Total (DBK+STR) CIN NO. CIN DT. Reward Flag_x000a_0516502832  AHDPK8975CCH001  5879330  06 SEP 2017 12:09  USOLI  316  2642.9  1929772.11  0  17921  0  17921  N.A.  N.A.  Click here to view item wise reward details "/>
    <s v="Current Que LEO Date EP Copy Print Status DBK Scroll No Scroll Date EGM Integration Status_x000a_HIST  08 SEP 2017 00:09  Y  24432/2018  25 MAR 2018 00:03  Y "/>
    <s v="EGM No. EGM Date Container No. Seal No. Error Message_x000a_R917401509  2017-9-15 0.0.0.0  TCNU4310695  402647  N.A. "/>
    <s v="ROSL Availed Amount(INR) Scroll Number Scroll Date_x000a_Y  7168  32661/2019  2019-2-8 0.0.0.0 "/>
    <x v="135"/>
    <s v="AWB No. Gateway Port Gateway EGM No. Gateway EGM Date Gateway Site ID Error Code_x000a_N.A.  INNSA1  134549  2017-09-05 00:00:00.0  INNSA1  S "/>
    <x v="2"/>
    <x v="39"/>
  </r>
  <r>
    <x v="0"/>
    <n v="8493626"/>
    <s v="2017/09/06"/>
    <s v="IEC CHA No. Job No. Job Date Port of Discharge Total Package Gross Weight (Kg) FOB(INR) Total Cess (INR) Drawback STR Total (DBK+STR) CIN NO. CIN DT. Reward Flag_x000a_3311006062  AHDPK8975CCH001  5884732  06 SEP 2017 12:09  CLSCL  40  249.02  465723  0  0  0  0  N.A.  N.A.  Click here to view item wise reward details "/>
    <s v="Current Que LEO Date EP Copy Print Status DBK Scroll No Scroll Date EGM Integration Status_x000a_HIST  11 SEP 2017 00:09  Y  N.A.  N.A.  Y "/>
    <s v="EGM No. EGM Date Container No. Seal No. Error Message_x000a_R1107481609  2017-9-16 0.0.0.0  KMTU7228639  402645  N.A. "/>
    <s v="ROSL Availed Amount(INR) Scroll Number Scroll Date_x000a_NULL  NULL  NULL  NULL "/>
    <x v="136"/>
    <s v="AWB No. Gateway Port Gateway EGM No. Gateway EGM Date Gateway Site ID Error Code_x000a_N.A.  INNSA1  135239  2017-09-18 00:00:00.0  INNSA1  S "/>
    <x v="1"/>
    <x v="40"/>
  </r>
  <r>
    <x v="0"/>
    <n v="8502112"/>
    <s v="2017/09/07"/>
    <s v="IEC CHA No. Job No. Job Date Port of Discharge Total Package Gross Weight (Kg) FOB(INR) Total Cess (INR) Drawback STR Total (DBK+STR) CIN NO. CIN DT. Reward Flag_x000a_0512059152  AASPK9028QCH001  5893896  07 SEP 2017 12:09  AEDXB  43  1335  314838.9  0  22790  0  22790  N.A.  N.A.  Click here to view item wise reward details "/>
    <s v="Current Que LEO Date EP Copy Print Status DBK Scroll No Scroll Date EGM Integration Status_x000a_HIST  12 SEP 2017 00:09  Y  21843/2017  21 SEP 2017 00:09  Y "/>
    <s v="EGM No. EGM Date Container No. Seal No. Error Message_x000a_R667781809  2017-9-18 0.0.0.0  CRXU3033449  403319  N.A. "/>
    <s v="ROSL Availed Amount(INR) Scroll Number Scroll Date_x000a_N  0  ROSL NOT CLAIMED  ROSL NOT CLAIMED "/>
    <x v="137"/>
    <s v="AWB No. Gateway Port Gateway EGM No. Gateway EGM Date Gateway Site ID Error Code_x000a_N.A.  INMUN1  N.A.  N.A.  N.A.  N.A. "/>
    <x v="0"/>
    <x v="0"/>
  </r>
  <r>
    <x v="0"/>
    <n v="8513208"/>
    <s v="2017/09/07"/>
    <s v="IEC CHA No. Job No. Job Date Port of Discharge Total Package Gross Weight (Kg) FOB(INR) Total Cess (INR) Drawback STR Total (DBK+STR) CIN NO. CIN DT. Reward Flag_x000a_0505032473  BEEPS0785MCH001  5905863  07 SEP 2017 12:09  DEHAM  40  1150  411255  0  4113  0  4113  N.A.  N.A.  Click here to view item wise reward details "/>
    <s v="Current Que LEO Date EP Copy Print Status DBK Scroll No Scroll Date EGM Integration Status_x000a_HIST  13 SEP 2017 00:09  Y  22032/2017  06 OCT 2017 00:10  Y "/>
    <s v="EGM No. EGM Date Container No. Seal No. Error Message_x000a_R777282109  2017-9-21 0.0.0.0  TGHU9884825  403376  N.A. "/>
    <s v="ROSL Availed Amount(INR) Scroll Number Scroll Date_x000a_N  0  ROSL NOT CLAIMED  ROSL NOT CLAIMED "/>
    <x v="138"/>
    <s v="AWB No. Gateway Port Gateway EGM No. Gateway EGM Date Gateway Site ID Error Code_x000a_N.A.  INMUN1  135462  2017-09-20 00:00:00.0  INMUN1  S "/>
    <x v="0"/>
    <x v="0"/>
  </r>
  <r>
    <x v="0"/>
    <n v="8528718"/>
    <s v="2017/09/08"/>
    <s v="IEC CHA No. Job No. Job Date Port of Discharge Total Package Gross Weight (Kg) FOB(INR) Total Cess (INR) Drawback STR Total (DBK+STR) CIN NO. CIN DT. Reward Flag_x000a_AAKFD0331P  AMAPS8772KCH001  5922687  08 SEP 2017 12:09  DEHAM  1  275  234025  0  0  0  0  N.A.  N.A.  Click here to view item wise reward details "/>
    <s v="Current Que LEO Date EP Copy Print Status DBK Scroll No Scroll Date EGM Integration Status_x000a_HIST  14 SEP 2017 00:09  Y  N.A.  N.A.  Y "/>
    <s v="EGM No. EGM Date Container No. Seal No. Error Message_x000a_R367602309  2017-9-23 0.0.0.0  CAIU7114563  403933  N.A. "/>
    <s v="ROSL Availed Amount(INR) Scroll Number Scroll Date_x000a_NULL  NULL  NULL  NULL "/>
    <x v="139"/>
    <s v="AWB No. Gateway Port Gateway EGM No. Gateway EGM Date Gateway Site ID Error Code_x000a_N.A.  INMUN1  135378  2017-09-19 00:00:00.0  INMUN1  S "/>
    <x v="1"/>
    <x v="0"/>
  </r>
  <r>
    <x v="0"/>
    <n v="8533887"/>
    <s v="2017/09/08"/>
    <s v="IEC CHA No. Job No. Job Date Port of Discharge Total Package Gross Weight (Kg) FOB(INR) Total Cess (INR) Drawback STR Total (DBK+STR) CIN NO. CIN DT. Reward Flag_x000a_0512067872  AAJCA1821BCH001  5928204  08 SEP 2017 12:09  GBSOU  3  526.52  564076.95  0  7166  0  7166  N.A.  N.A.  Click here to view item wise reward details "/>
    <s v="Current Que LEO Date EP Copy Print Status DBK Scroll No Scroll Date EGM Integration Status_x000a_HIST  12 SEP 2017 00:09  Y  21843/2017  21 SEP 2017 00:09  Y "/>
    <s v="EGM No. EGM Date Container No. Seal No. Error Message_x000a_R157821809  2017-9-18 0.0.0.0  INKU6262099  403336  N.A. "/>
    <s v="ROSL Availed Amount(INR) Scroll Number Scroll Date_x000a_N  0  ROSL NOT CLAIMED  ROSL NOT CLAIMED "/>
    <x v="140"/>
    <s v="AWB No. Gateway Port Gateway EGM No. Gateway EGM Date Gateway Site ID Error Code_x000a_N.A.  INNSA1  134930  2017-09-12 00:00:00.0  INNSA1  C "/>
    <x v="0"/>
    <x v="41"/>
  </r>
  <r>
    <x v="0"/>
    <n v="8551635"/>
    <s v="2017/09/09"/>
    <s v="IEC CHA No. Job No. Job Date Port of Discharge Total Package Gross Weight (Kg) FOB(INR) Total Cess (INR) Drawback STR Total (DBK+STR) CIN NO. CIN DT. Reward Flag_x000a_0511087098  AAACE2126JCH014  5947300  09 SEP 2017 12:09  LKCMB  38  596  144590.77  0  0  0  0  N.A.  N.A.  Click here to view item wise reward details "/>
    <s v="Current Que LEO Date EP Copy Print Status DBK Scroll No Scroll Date EGM Integration Status_x000a_HIST  13 SEP 2017 00:09  Y  N.A.  N.A.  Y "/>
    <s v="EGM No. EGM Date Container No. Seal No. Error Message_x000a_R157821809  2017-9-18 0.0.0.0  CCLU6335831  403325  N.A. "/>
    <s v="ROSL Availed Amount(INR) Scroll Number Scroll Date_x000a_NULL  NULL  NULL  NULL "/>
    <x v="141"/>
    <s v="AWB No. Gateway Port Gateway EGM No. Gateway EGM Date Gateway Site ID Error Code_x000a_N.A.  INNSA1  N.A.  N.A.  N.A.  N.A. "/>
    <x v="1"/>
    <x v="0"/>
  </r>
  <r>
    <x v="0"/>
    <n v="8576060"/>
    <s v="2017/09/11"/>
    <s v="IEC CHA No. Job No. Job Date Port of Discharge Total Package Gross Weight (Kg) FOB(INR) Total Cess (INR) Drawback STR Total (DBK+STR) CIN NO. CIN DT. Reward Flag_x000a_3104003254  AAACA3307KCH003  5973357  11 SEP 2017 12:09  USSTL  1  190  194114.25  0  3882  0  3882  N.A.  N.A.  Click here to view item wise reward details "/>
    <s v="Current Que LEO Date EP Copy Print Status DBK Scroll No Scroll Date EGM Integration Status_x000a_HIST  13 SEP 2017 00:09  Y  21843/2017  21 SEP 2017 00:09  Y "/>
    <s v="EGM No. EGM Date Container No. Seal No. Error Message_x000a_R1117461609  2017-9-16 0.0.0.0  NYKU4408134  402667  N.A. "/>
    <s v="ROSL Availed Amount(INR) Scroll Number Scroll Date_x000a_N  0  ROSL NOT CLAIMED  ROSL NOT CLAIMED "/>
    <x v="142"/>
    <s v="AWB No. Gateway Port Gateway EGM No. Gateway EGM Date Gateway Site ID Error Code_x000a_N.A.  INMUN1  135461  2017-09-20 00:00:00.0  INMUN1  S "/>
    <x v="0"/>
    <x v="0"/>
  </r>
  <r>
    <x v="0"/>
    <n v="8579468"/>
    <s v="2017/09/11"/>
    <s v="IEC CHA No. Job No. Job Date Port of Discharge Total Package Gross Weight (Kg) FOB(INR) Total Cess (INR) Drawback STR Total (DBK+STR) CIN NO. CIN DT. Reward Flag_x000a_0589053850  AMJPS3049QCH001  5977016  11 SEP 2017 12:09  EGSOK  15  6472  938063.28  0  18761  0  18761  N.A.  N.A.  Click here to view item wise reward details "/>
    <s v="Current Que LEO Date EP Copy Print Status DBK Scroll No Scroll Date EGM Integration Status_x000a_HIST  14 SEP 2017 00:09  Y  21843/2017  21 SEP 2017 00:09  Y "/>
    <s v="EGM No. EGM Date Container No. Seal No. Error Message_x000a_R917401509  2017-9-15 0.0.0.0  TCNU3705026  000111  N.A. "/>
    <s v="ROSL Availed Amount(INR) Scroll Number Scroll Date_x000a_N  0  ROSL NOT CLAIMED  ROSL NOT CLAIMED "/>
    <x v="143"/>
    <s v="AWB No. Gateway Port Gateway EGM No. Gateway EGM Date Gateway Site ID Error Code_x000a_N.A.  INNSA1  134711  2017-09-07 00:00:00.0  INNSA1  ST "/>
    <x v="0"/>
    <x v="42"/>
  </r>
  <r>
    <x v="0"/>
    <n v="8581999"/>
    <s v="2017/09/11"/>
    <s v="IEC CHA No. Job No. Job Date Port of Discharge Total Package Gross Weight (Kg) FOB(INR) Total Cess (INR) Drawback STR Total (DBK+STR) CIN NO. CIN DT. Reward Flag_x000a_0515060291  AABCS2867DCH001  5979721  11 SEP 2017 12:09  PLGDY  25  295  189750  0  6732  0  6732  N.A.  N.A.  Click here to view item wise reward details "/>
    <s v="Current Que LEO Date EP Copy Print Status DBK Scroll No Scroll Date EGM Integration Status_x000a_HIST  15 SEP 2017 00:09  Y  22032/2017  06 OCT 2017 00:10  Y "/>
    <s v="EGM No. EGM Date Container No. Seal No. Error Message_x000a_R137262109  2017-9-21 0.0.0.0  VSTU9000234  403375  N.A. "/>
    <s v="ROSL Availed Amount(INR) Scroll Number Scroll Date_x000a_N  0  ROSL NOT CLAIMED  ROSL NOT CLAIMED "/>
    <x v="144"/>
    <s v="AWB No. Gateway Port Gateway EGM No. Gateway EGM Date Gateway Site ID Error Code_x000a_N.A.  INNSA1  135192  2017-09-15 00:00:00.0  INNSA1  S "/>
    <x v="0"/>
    <x v="43"/>
  </r>
  <r>
    <x v="0"/>
    <n v="8584007"/>
    <s v="2017/09/11"/>
    <s v="IEC CHA No. Job No. Job Date Port of Discharge Total Package Gross Weight (Kg) FOB(INR) Total Cess (INR) Drawback STR Total (DBK+STR) CIN NO. CIN DT. Reward Flag_x000a_0507051360  AAAFJ1721HCH058  5981869  11 SEP 2017 12:09  THBKK  2  300  378785.28  0  7576  0  7576  N.A.  N.A.  Click here to view item wise reward details "/>
    <s v="Warehouse Code Warehouse Name Current Que Current Status Appraising Date A.C(APR) A.C(APR) Date Exam Mark ID Mark Date_x000a_N.A.  EXPORT W/H  DBK_SUP  To Be Processed For DBK  N.A.  N.A.  N.A.  10026238  13 SEP 2017 14:09 _x000a_  Insp/E.O EXAM DATE Supdt/A.O.Id DBK A.C ID DBK A.C ID Date DBK Supdt. ID DBK Supdt. Date DEPB Supdt DEPB Supdt Date_x000a_10036893  13 SEP 2017 00:09  10042017  N.A.  N.A.  N.A.  N.A.  N.A.  N.A. _x000a_  DEPB Lic DEPB Lic Date Sample Drawn Test Report LEO Date EP Copy Print Status Print Status DBK Scroll No Scroll Date EGM Integration Status_x000a_N.A.  N.A.  N.A.  N.A.  13 SEP 2017 00:09  Y  Y  N.A.  N.A.  Y "/>
    <s v="EGM No. EGM Date Container No. Seal No. Error Message_x000a_R157821809  2017-9-18 0.0.0.0  CCLU6335831  403325  N.A. "/>
    <s v="ROSL Availed Amount(INR) Scroll Number Scroll Date_x000a_N  0  ROSL NOT CLAIMED  ROSL NOT CLAIMED "/>
    <x v="145"/>
    <s v="AWB No. Gateway Port Gateway EGM No. Gateway EGM Date Gateway Site ID Error Code_x000a_N.A.  INNSA1  135086  2017-09-14 00:00:00.0  INNSA1  S "/>
    <x v="0"/>
    <x v="0"/>
  </r>
  <r>
    <x v="0"/>
    <n v="8584704"/>
    <s v="2017/09/11"/>
    <s v="IEC CHA No. Job No. Job Date Port of Discharge Total Package Gross Weight (Kg) FOB(INR) Total Cess (INR) Drawback STR Total (DBK+STR) CIN NO. CIN DT. Reward Flag_x000a_0507023722  AANPA2304GCH001  5982604  11 SEP 2017 12:09  LKCMB  20  505  136145.63  0  0  0  0  N.A.  N.A.  Click here to view item wise reward details "/>
    <s v="Current Que LEO Date EP Copy Print Status DBK Scroll No Scroll Date EGM Integration Status_x000a_HIST  15 SEP 2017 00:09  Y  N.A.  N.A.  Y "/>
    <s v="EGM No. EGM Date Container No. Seal No. Error Message_x000a_T257542209  2017-9-22 0.0.0.0  ZCSU8532458  403390  N.A. "/>
    <s v="ROSL Availed Amount(INR) Scroll Number Scroll Date_x000a_NULL  NULL  NULL  NULL "/>
    <x v="146"/>
    <s v="AWB No. Gateway Port Gateway EGM No. Gateway EGM Date Gateway Site ID Error Code_x000a_N.A.  INNSA1  134938  2017-09-12 00:00:00.0  INNSA1  S "/>
    <x v="1"/>
    <x v="0"/>
  </r>
  <r>
    <x v="0"/>
    <n v="8600398"/>
    <s v="2017/09/12"/>
    <s v="IEC CHA No. Job No. Job Date Port of Discharge Total Package Gross Weight (Kg) FOB(INR) Total Cess (INR) Drawback STR Total (DBK+STR) CIN NO. CIN DT. Reward Flag_x000a_0506004830  AAJCA1821BCH001  5999477  12 SEP 2017 12:09  LKCMB  10  246  426937.5  0  6053  0  6053  N.A.  N.A.  Click here to view item wise reward details "/>
    <s v="Current Que LEO Date EP Copy Print Status DBK Scroll No Scroll Date EGM Integration Status_x000a_HIST  13 SEP 2017 00:09  Y  21843/2017  21 SEP 2017 00:09  Y "/>
    <s v="EGM No. EGM Date Container No. Seal No. Error Message_x000a_R157821809  2017-9-18 0.0.0.0  CCLU6335831  403325  N.A. "/>
    <s v="ROSL Availed Amount(INR) Scroll Number Scroll Date_x000a_N  0  ROSL NOT CLAIMED  ROSL NOT CLAIMED "/>
    <x v="147"/>
    <s v="AWB No. Gateway Port Gateway EGM No. Gateway EGM Date Gateway Site ID Error Code_x000a_N.A.  INNSA1  N.A.  N.A.  N.A.  N.A. "/>
    <x v="0"/>
    <x v="44"/>
  </r>
  <r>
    <x v="0"/>
    <n v="8602587"/>
    <s v="2017/09/12"/>
    <s v="IEC CHA No. Job No. Job Date Port of Discharge Total Package Gross Weight (Kg) FOB(INR) Total Cess (INR) Drawback STR Total (DBK+STR) CIN NO. CIN DT. Reward Flag_x000a_1314000233  AAFCK0712RCH001  6001781  12 SEP 2017 12:09  ZADUR  12  5468  1151276.76  0  14152  0  14152  N.A.  N.A.  Click here to view item wise reward details "/>
    <s v="Current Que LEO Date EP Copy Print Status DBK Scroll No Scroll Date EGM Integration Status_x000a_HIST  14 SEP 2017 00:09  Y  22032/2017  06 OCT 2017 00:10  Y "/>
    <s v="EGM No. EGM Date Container No. Seal No. Error Message_x000a_R137262109  2017-9-21 0.0.0.0  PONU2056658  403381  N.A. "/>
    <s v="ROSL Availed Amount(INR) Scroll Number Scroll Date_x000a_N  0  ROSL NOT CLAIMED  ROSL NOT CLAIMED "/>
    <x v="148"/>
    <s v="AWB No. Gateway Port Gateway EGM No. Gateway EGM Date Gateway Site ID Error Code_x000a_N.A.  INNSA1  134766  2017-09-08 00:00:00.0  INNSA1  S "/>
    <x v="0"/>
    <x v="0"/>
  </r>
  <r>
    <x v="0"/>
    <n v="8605254"/>
    <s v="2017/09/12"/>
    <s v="IEC CHA No. Job No. Job Date Port of Discharge Total Package Gross Weight (Kg) FOB(INR) Total Cess (INR) Drawback STR Total (DBK+STR) CIN NO. CIN DT. Reward Flag_x000a_0515920274  AAAFO0713CCH001  6004661  12 SEP 2017 12:09  ESBCN  3  199  209411.84  0  0  0  0  N.A.  N.A.  Click here to view item wise reward details "/>
    <s v="Current Que LEO Date EP Copy Print Status DBK Scroll No Scroll Date EGM Integration Status_x000a_HIST  14 SEP 2017 00:09  Y  N.A.  N.A.  Y "/>
    <s v="EGM No. EGM Date Container No. Seal No. Error Message_x000a_J277642309  2017-9-23 0.0.0.0  DFSU2494143  403925  N.A. "/>
    <s v="ROSL Availed Amount(INR) Scroll Number Scroll Date_x000a_NULL  NULL  NULL  NULL "/>
    <x v="149"/>
    <s v="AWB No. Gateway Port Gateway EGM No. Gateway EGM Date Gateway Site ID Error Code_x000a_N.A.  INNSA1  135065  2017-09-14 00:00:00.0  INNSA1  S "/>
    <x v="1"/>
    <x v="0"/>
  </r>
  <r>
    <x v="0"/>
    <n v="8607213"/>
    <s v="2017/09/12"/>
    <s v="IEC CHA No. Job No. Job Date Port of Discharge Total Package Gross Weight (Kg) FOB(INR) Total Cess (INR) Drawback STR Total (DBK+STR) CIN NO. CIN DT. Reward Flag_x000a_0513013261  AABCS7195NCH001  6006790  12 SEP 2017 12:09  AEJEA  10  307.8  111952.5  0  1679  0  1679  N.A.  N.A.  Click here to view item wise reward details "/>
    <s v="Current Que LEO Date EP Copy Print Status DBK Scroll No Scroll Date EGM Integration Status_x000a_HIST  21 SEP 2017 00:09  Y  22374/2017  31 OCT 2017 00:10  Y "/>
    <s v="EGM No. EGM Date Container No. Seal No. Error Message_x000a_T437022609  2017-9-26 0.0.0.0  BLJU4450787  403977  N.A. "/>
    <s v="ROSL Availed Amount(INR) Scroll Number Scroll Date_x000a_N  0  ROSL NOT CLAIMED  ROSL NOT CLAIMED "/>
    <x v="150"/>
    <s v="AWB No. Gateway Port Gateway EGM No. Gateway EGM Date Gateway Site ID Error Code_x000a_N.A.  INMUN1  135995  2017-09-28 00:00:00.0  INMUN1  S "/>
    <x v="0"/>
    <x v="45"/>
  </r>
  <r>
    <x v="0"/>
    <n v="8607674"/>
    <s v="2017/09/12"/>
    <s v="IEC CHA No. Job No. Job Date Port of Discharge Total Package Gross Weight (Kg) FOB(INR) Total Cess (INR) Drawback STR Total (DBK+STR) CIN NO. CIN DT. Reward Flag_x000a_0709012331  AACCN5026ECH007  6007285  12 SEP 2017 12:09  PACFZ  7  4045  1844633.12  0  36893  0  36893  N.A.  N.A.  Click here to view item wise reward details "/>
    <s v="Current Que LEO Date EP Copy Print Status DBK Scroll No Scroll Date EGM Integration Status_x000a_HIST  14 SEP 2017 00:09  Y  24432/2018  25 MAR 2018 00:03  Y "/>
    <s v="EGM No. EGM Date Container No. Seal No. Error Message_x000a_R157821809  2017-9-18 0.0.0.0  TRLU6853517  403326  N.A. "/>
    <s v="ROSL Availed Amount(INR) Scroll Number Scroll Date_x000a_N  0  ROSL NOT CLAIMED  ROSL NOT CLAIMED "/>
    <x v="151"/>
    <s v="AWB No. Gateway Port Gateway EGM No. Gateway EGM Date Gateway Site ID Error Code_x000a_N.A.  INNSA1  N.A.  N.A.  N.A.  N.A. "/>
    <x v="0"/>
    <x v="0"/>
  </r>
  <r>
    <x v="0"/>
    <n v="8608392"/>
    <s v="2017/09/12"/>
    <s v="IEC CHA No. Job No. Job Date Port of Discharge Total Package Gross Weight (Kg) FOB(INR) Total Cess (INR) Drawback STR Total (DBK+STR) CIN NO. CIN DT. Reward Flag_x000a_AAECE6932C  BTLPP6279BCH001  6008035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x v="152"/>
    <s v="AWB No. Gateway Port Gateway EGM No. Gateway EGM Date Gateway Site ID Error Code_x000a_N.A.  INPAV1  134063  2017-08-28 00:00:00.0  INPAV1  S "/>
    <x v="2"/>
    <x v="0"/>
  </r>
  <r>
    <x v="0"/>
    <n v="8608445"/>
    <s v="2017/09/12"/>
    <s v="IEC CHA No. Job No. Job Date Port of Discharge Total Package Gross Weight (Kg) FOB(INR) Total Cess (INR) Drawback STR Total (DBK+STR) CIN NO. CIN DT. Reward Flag_x000a_AAECE6932C  BTLPP6279BCH001  6008096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x v="153"/>
    <s v="AWB No. Gateway Port Gateway EGM No. Gateway EGM Date Gateway Site ID Error Code_x000a_N.A.  INPAV1  134063  2017-08-28 00:00:00.0  INPAV1  S "/>
    <x v="2"/>
    <x v="0"/>
  </r>
  <r>
    <x v="0"/>
    <n v="8608455"/>
    <s v="2017/09/12"/>
    <s v="IEC CHA No. Job No. Job Date Port of Discharge Total Package Gross Weight (Kg) FOB(INR) Total Cess (INR) Drawback STR Total (DBK+STR) CIN NO. CIN DT. Reward Flag_x000a_AAECE6932C  BTLPP6279BCH001  6008090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x v="152"/>
    <s v="AWB No. Gateway Port Gateway EGM No. Gateway EGM Date Gateway Site ID Error Code_x000a_N.A.  INPAV1  134063  2017-08-28 00:00:00.0  INPAV1  S "/>
    <x v="2"/>
    <x v="0"/>
  </r>
  <r>
    <x v="0"/>
    <n v="8608463"/>
    <s v="2017/09/12"/>
    <s v="IEC CHA No. Job No. Job Date Port of Discharge Total Package Gross Weight (Kg) FOB(INR) Total Cess (INR) Drawback STR Total (DBK+STR) CIN NO. CIN DT. Reward Flag_x000a_AAECE6932C  BTLPP6279BCH001  6008120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x v="153"/>
    <s v="AWB No. Gateway Port Gateway EGM No. Gateway EGM Date Gateway Site ID Error Code_x000a_N.A.  INPAV1  134063  2017-08-28 00:00:00.0  INPAV1  S "/>
    <x v="2"/>
    <x v="0"/>
  </r>
  <r>
    <x v="0"/>
    <n v="8608521"/>
    <s v="2017/09/12"/>
    <s v="IEC CHA No. Job No. Job Date Port of Discharge Total Package Gross Weight (Kg) FOB(INR) Total Cess (INR) Drawback STR Total (DBK+STR) CIN NO. CIN DT. Reward Flag_x000a_AAECE6932C  BTLPP6279BCH001  6008163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9355  25637/2017  2017-9-20 0.0.0.0 "/>
    <x v="152"/>
    <s v="AWB No. Gateway Port Gateway EGM No. Gateway EGM Date Gateway Site ID Error Code_x000a_N.A.  INPAV1  134063  2017-08-28 00:00:00.0  INPAV1  S "/>
    <x v="2"/>
    <x v="0"/>
  </r>
  <r>
    <x v="0"/>
    <n v="8610604"/>
    <s v="2017/09/12"/>
    <s v="IEC CHA No. Job No. Job Date Port of Discharge Total Package Gross Weight (Kg) FOB(INR) Total Cess (INR) Drawback STR Total (DBK+STR) CIN NO. CIN DT. Reward Flag_x000a_0595012647  AAACC6689ECH001  6010406  12 SEP 2017 12:09  PKKHI  3138  47059  7890078.87  0  118351  0  118351  N.A.  N.A.  Click here to view item wise reward details "/>
    <s v="Current Que LEO Date EP Copy Print Status DBK Scroll No Scroll Date EGM Integration Status_x000a_HIST  18 SEP 2017 00:09  Y  22032/2017  06 OCT 2017 00:10  Y "/>
    <s v="EGM No. EGM Date Container No. Seal No. Error Message_x000a_TX227302109  2017-9-21 0.0.0.0  SEGU5562627  001866  N.A. "/>
    <s v="ROSL Availed Amount(INR) Scroll Number Scroll Date_x000a_N  0  ROSL NOT CLAIMED  ROSL NOT CLAIMED "/>
    <x v="154"/>
    <s v="AWB No. Gateway Port Gateway EGM No. Gateway EGM Date Gateway Site ID Error Code_x000a_N.A.  INMUN1  134211  2017-08-30 00:00:00.0  INMUN1  S "/>
    <x v="0"/>
    <x v="46"/>
  </r>
  <r>
    <x v="0"/>
    <n v="8612296"/>
    <s v="2017/09/12"/>
    <s v="IEC CHA No. Job No. Job Date Port of Discharge Total Package Gross Weight (Kg) FOB(INR) Total Cess (INR) Drawback STR Total (DBK+STR) CIN NO. CIN DT. Reward Flag_x000a_0511063865  ARPPK3328RCH001  6012243  12 SEP 2017 12:09  IDJKT  1  35  17068.65  0  0  0  0  N.A.  N.A.  Click here to view item wise reward details "/>
    <s v="Current Que LEO Date EP Copy Print Status DBK Scroll No Scroll Date EGM Integration Status_x000a_HIST  14 SEP 2017 00:09  Y  N.A.  N.A.  Y "/>
    <s v="EGM No. EGM Date Container No. Seal No. Error Message_x000a_R157821809  2017-9-18 0.0.0.0  WHLU5173740  403333  N.A. "/>
    <s v="ROSL Availed Amount(INR) Scroll Number Scroll Date_x000a_NULL  NULL  NULL  NULL "/>
    <x v="155"/>
    <s v="AWB No. Gateway Port Gateway EGM No. Gateway EGM Date Gateway Site ID Error Code_x000a_N.A.  INNSA1  135086  2017-09-14 00:00:00.0  INNSA1  S "/>
    <x v="1"/>
    <x v="47"/>
  </r>
  <r>
    <x v="0"/>
    <n v="8615986"/>
    <s v="2017/09/12"/>
    <s v="IEC CHA No. Job No. Job Date Port of Discharge Total Package Gross Weight (Kg) FOB(INR) Total Cess (INR) Drawback STR Total (DBK+STR) CIN NO. CIN DT. Reward Flag_x000a_0598059113  AASPK9028QCH001  6016290  12 SEP 2017 12:09  TZDAR  845  10250  1390057.9  0  97304  0  97304  N.A.  N.A.  Click here to view item wise reward details "/>
    <s v="Current Que LEO Date EP Copy Print Status DBK Scroll No Scroll Date EGM Integration Status_x000a_HIST  16 SEP 2017 00:09  Y  22032/2017  06 OCT 2017 00:10  Y "/>
    <s v="EGM No. EGM Date Container No. Seal No. Error Message_x000a_R777282109  2017-9-21 0.0.0.0  MSCU3061583  403622  N.A. "/>
    <s v="ROSL Availed Amount(INR) Scroll Number Scroll Date_x000a_N  0  ROSL NOT CLAIMED  ROSL NOT CLAIMED "/>
    <x v="156"/>
    <s v="AWB No. Gateway Port Gateway EGM No. Gateway EGM Date Gateway Site ID Error Code_x000a_N.A.  INMUN1  134919  2017-09-12 00:00:00.0  INMUN1  S "/>
    <x v="0"/>
    <x v="0"/>
  </r>
  <r>
    <x v="0"/>
    <n v="8620347"/>
    <s v="2017/09/13"/>
    <s v="IEC CHA No. Job No. Job Date Port of Discharge Total Package Gross Weight (Kg) FOB(INR) Total Cess (INR) Drawback STR Total (DBK+STR) CIN NO. CIN DT. Reward Flag_x000a_0514025026  ARPPK3328RCH001  6020998  13 SEP 2017 12:09  BDCGP  13  448  89182.5  0  1784  0  1784  N.A.  N.A.  Click here to view item wise reward details "/>
    <s v="Current Que LEO Date EP Copy Print Status DBK Scroll No Scroll Date EGM Integration Status_x000a_HIST  15 SEP 2017 00:09  Y  22032/2017  06 OCT 2017 00:10  Y "/>
    <s v="EGM No. EGM Date Container No. Seal No. Error Message_x000a_T257542209  2017-9-22 0.0.0.0  ZCSU8532458  403390  N.A. "/>
    <s v="ROSL Availed Amount(INR) Scroll Number Scroll Date_x000a_N  0  ROSL NOT CLAIMED  ROSL NOT CLAIMED "/>
    <x v="157"/>
    <s v="AWB No. Gateway Port Gateway EGM No. Gateway EGM Date Gateway Site ID Error Code_x000a_N.A.  INNSA1  134938  2017-09-12 00:00:00.0  INNSA1  S "/>
    <x v="0"/>
    <x v="0"/>
  </r>
  <r>
    <x v="0"/>
    <n v="8660236"/>
    <s v="2017/09/14"/>
    <s v="IEC CHA No. Job No. Job Date Port of Discharge Total Package Gross Weight (Kg) FOB(INR) Total Cess (INR) Drawback STR Total (DBK+STR) CIN NO. CIN DT. Reward Flag_x000a_0506062538  AAQPP8189FCH001  6063792  14 SEP 2017 12:09  KWSWK  4  1847.2  451763.13  0  4731  0  4731  N.A.  N.A.  Click here to view item wise reward details "/>
    <s v="Current Que LEO Date EP Copy Print Status DBK Scroll No Scroll Date EGM Integration Status_x000a_HIST  18 SEP 2017 00:09  Y  22137/2017  13 OCT 2017 00:10  Y "/>
    <s v="EGM No. EGM Date Container No. Seal No. Error Message_x000a_R227902509  2017-9-25 0.0.0.0  HLXU4543158  403952  N.A. "/>
    <s v="ROSL Availed Amount(INR) Scroll Number Scroll Date_x000a_N  0  ROSL NOT CLAIMED  ROSL NOT CLAIMED "/>
    <x v="158"/>
    <s v="AWB No. Gateway Port Gateway EGM No. Gateway EGM Date Gateway Site ID Error Code_x000a_N.A.  INNSA1  135503  2017-09-21 00:00:00.0  INNSA1  C "/>
    <x v="0"/>
    <x v="48"/>
  </r>
  <r>
    <x v="0"/>
    <n v="8661641"/>
    <s v="2017/09/14"/>
    <s v="IEC CHA No. Job No. Job Date Port of Discharge Total Package Gross Weight (Kg) FOB(INR) Total Cess (INR) Drawback STR Total (DBK+STR) CIN NO. CIN DT. Reward Flag_x000a_0508075416  AVAPS6694RCH001  6065307  14 SEP 2017 12:09  CNSZX  40  1008.4  131387.96  0  0  0  0  N.A.  N.A.  Click here to view item wise reward details "/>
    <s v="Current Que LEO Date EP Copy Print Status DBK Scroll No Scroll Date EGM Integration Status_x000a_HIST  16 SEP 2017 00:09  Y  N.A.  N.A.  Y "/>
    <s v="EGM No. EGM Date Container No. Seal No. Error Message_x000a_R227902509  2017-9-25 0.0.0.0  BSIU3015188  403955  N.A. "/>
    <s v="ROSL Availed Amount(INR) Scroll Number Scroll Date_x000a_NULL  NULL  NULL  NULL "/>
    <x v="159"/>
    <s v="AWB No. Gateway Port Gateway EGM No. Gateway EGM Date Gateway Site ID Error Code_x000a_N.A.  INNSA1  135603  2017-09-22 00:00:00.0  INNSA1  S "/>
    <x v="1"/>
    <x v="49"/>
  </r>
  <r>
    <x v="0"/>
    <n v="8687607"/>
    <s v="2017/09/15"/>
    <s v="IEC CHA No. Job No. Job Date Port of Discharge Total Package Gross Weight (Kg) FOB(INR) Total Cess (INR) Drawback STR Total (DBK+STR) CIN NO. CIN DT. Reward Flag_x000a_0504064011  AVAPS6694RCH001  6093141  15 SEP 2017 12:09  MMRGN  882  15492.4  1683614.61  0  33672  0  33672  N.A.  N.A.  Click here to view item wise reward details "/>
    <s v="Current Que LEO Date EP Copy Print Status DBK Scroll No Scroll Date EGM Integration Status_x000a_HIST  20 SEP 2017 00:09  Y  22137/2017  13 OCT 2017 00:10  Y "/>
    <s v="EGM No. EGM Date Container No. Seal No. Error Message_x000a_R367602309  2017-9-23 0.0.0.0  KKTU8256558  404113  N.A. "/>
    <s v="ROSL Availed Amount(INR) Scroll Number Scroll Date_x000a_N  0  ROSL NOT CLAIMED  ROSL NOT CLAIMED "/>
    <x v="160"/>
    <s v="AWB No. Gateway Port Gateway EGM No. Gateway EGM Date Gateway Site ID Error Code_x000a_N.A.  INMUN1  148326  2018-04-13 00:00:00.0  INMUN1  S "/>
    <x v="0"/>
    <x v="50"/>
  </r>
  <r>
    <x v="0"/>
    <n v="8697591"/>
    <s v="2017/09/16"/>
    <s v="IEC CHA No. Job No. Job Date Port of Discharge Total Package Gross Weight (Kg) FOB(INR) Total Cess (INR) Drawback STR Total (DBK+STR) CIN NO. CIN DT. Reward Flag_x000a_0503013749  AACCP0287DCH001  6103872  16 SEP 2017 12:09  UZTAS  80  2225  845291.98  0  0  0  0  N.A.  N.A.  Click here to view item wise reward details "/>
    <s v="Current Que LEO Date EP Copy Print Status DBK Scroll No Scroll Date EGM Integration Status_x000a_HIST  03 OCT 2017 00:10  Y  N.A.  N.A.  Y "/>
    <s v="EGM No. EGM Date Container No. Seal No. Error Message_x000a_R1667820810  2017-10-8 0.0.0.0  PCIU9157109  405628  N.A. "/>
    <s v="ROSL Availed Amount(INR) Scroll Number Scroll Date_x000a_NULL  NULL  NULL  NULL "/>
    <x v="161"/>
    <s v="AWB No. Gateway Port Gateway EGM No. Gateway EGM Date Gateway Site ID Error Code_x000a_N.A.  INMUN1  N.A.  N.A.  N.A.  N.A. "/>
    <x v="1"/>
    <x v="0"/>
  </r>
  <r>
    <x v="0"/>
    <n v="8708114"/>
    <s v="2017/09/16"/>
    <s v="IEC CHA No. Job No. Job Date Port of Discharge Total Package Gross Weight (Kg) FOB(INR) Total Cess (INR) Drawback STR Total (DBK+STR) CIN NO. CIN DT. Reward Flag_x000a_0511035675  BWXPS5491PCH001  6115190  16 SEP 2017 12:09  ZAJNB  136  3453  878242.06  0  0  0  0  N.A.  N.A.  Click here to view item wise reward details "/>
    <s v="Current Que LEO Date EP Copy Print Status DBK Scroll No Scroll Date EGM Integration Status_x000a_HIST  19 SEP 2017 00:09  Y  N.A.  N.A.  Y "/>
    <s v="EGM No. EGM Date Container No. Seal No. Error Message_x000a_T507322809  2017-9-28 0.0.0.0  KKFU7110034  404820  N.A. "/>
    <s v="ROSL Availed Amount(INR) Scroll Number Scroll Date_x000a_NULL  NULL  NULL  NULL "/>
    <x v="162"/>
    <s v="AWB No. Gateway Port Gateway EGM No. Gateway EGM Date Gateway Site ID Error Code_x000a_N.A.  INNSA1  135349  2017-09-19 00:00:00.0  INNSA1  C "/>
    <x v="1"/>
    <x v="51"/>
  </r>
  <r>
    <x v="0"/>
    <n v="8709897"/>
    <s v="2017/09/16"/>
    <s v="IEC CHA No. Job No. Job Date Port of Discharge Total Package Gross Weight (Kg) FOB(INR) Total Cess (INR) Drawback STR Total (DBK+STR) CIN NO. CIN DT. Reward Flag_x000a_0514036265  AAFCS0723ACH002  6117091  16 SEP 2017 12:09  GBFXT  210  3250  460178.54  0  6903  0  6903  N.A.  N.A.  Click here to view item wise reward details "/>
    <s v="Current Que LEO Date EP Copy Print Status DBK Scroll No Scroll Date EGM Integration Status_x000a_HIST  21 SEP 2017 00:09  Y  22137/2017  13 OCT 2017 00:10  Y "/>
    <s v="EGM No. EGM Date Container No. Seal No. Error Message_x000a_T987822409  2017-9-24 0.0.0.0  TGHU2668341  404194  N.A. "/>
    <s v="ROSL Availed Amount(INR) Scroll Number Scroll Date_x000a_N  0  ROSL NOT CLAIMED  ROSL NOT CLAIMED "/>
    <x v="163"/>
    <s v="AWB No. Gateway Port Gateway EGM No. Gateway EGM Date Gateway Site ID Error Code_x000a_N.A.  INMUN1  135887  2017-09-27 00:00:00.0  INMUN1  S "/>
    <x v="0"/>
    <x v="0"/>
  </r>
  <r>
    <x v="0"/>
    <n v="8749638"/>
    <s v="2017/09/19"/>
    <s v="IEC CHA No. Job No. Job Date Port of Discharge Total Package Gross Weight (Kg) FOB(INR) Total Cess (INR) Drawback STR Total (DBK+STR) CIN NO. CIN DT. Reward Flag_x000a_0593067517  AHEPG6607LCH001  6159589  19 SEP 2017 12:09  KWSWK  650  6925  3279512.5  0  4853  0  4853  N.A.  N.A.  Click here to view item wise reward details "/>
    <s v="Current Que LEO Date EP Copy Print Status DBK Scroll No Scroll Date EGM Integration Status_x000a_HIST  23 SEP 2017 00:09  Y  22137/2017  13 OCT 2017 00:10  Y "/>
    <s v="EGM No. EGM Date Container No. Seal No. Error Message_x000a_T657202709  2017-9-27 0.0.0.0  TCKU3783810  404712  N.A. "/>
    <s v="ROSL Availed Amount(INR) Scroll Number Scroll Date_x000a_N  0  ROSL NOT CLAIMED  ROSL NOT CLAIMED "/>
    <x v="164"/>
    <s v="AWB No. Gateway Port Gateway EGM No. Gateway EGM Date Gateway Site ID Error Code_x000a_N.A.  INMUN1  136169  2017-10-03 00:00:00.0  INMUN1  S "/>
    <x v="0"/>
    <x v="52"/>
  </r>
  <r>
    <x v="0"/>
    <n v="8751355"/>
    <s v="2017/09/19"/>
    <s v="IEC CHA No. Job No. Job Date Port of Discharge Total Package Gross Weight (Kg) FOB(INR) Total Cess (INR) Drawback STR Total (DBK+STR) CIN NO. CIN DT. Reward Flag_x000a_0515076741  AEMPB3106JCH001  6161428  19 SEP 2017 12:09  GBLON  29  511  435906.6  0  31567  0  31567  N.A.  N.A.  Click here to view item wise reward details "/>
    <s v="Current Que LEO Date EP Copy Print Status DBK Scroll No Scroll Date EGM Integration Status_x000a_HIST  21 SEP 2017 00:09  Y  22032/2017  06 OCT 2017 00:10  Y "/>
    <s v="EGM No. EGM Date Container No. Seal No. Error Message_x000a_T257542209  2017-9-22 0.0.0.0  MSKU0286482  403929  N.A. "/>
    <s v="ROSL Availed Amount(INR) Scroll Number Scroll Date_x000a_Y  14649  25835/2017  2017-10-15 0.0.0.0 "/>
    <x v="165"/>
    <s v="AWB No. Gateway Port Gateway EGM No. Gateway EGM Date Gateway Site ID Error Code_x000a_N.A.  INNSA1  134741  2017-09-08 00:00:00.0  INNSA1  S "/>
    <x v="2"/>
    <x v="53"/>
  </r>
  <r>
    <x v="0"/>
    <n v="8752612"/>
    <s v="2017/09/19"/>
    <s v="IEC CHA No. Job No. Job Date Port of Discharge Total Package Gross Weight (Kg) FOB(INR) Total Cess (INR) Drawback STR Total (DBK+STR) CIN NO. CIN DT. Reward Flag_x000a_0307055078  AKXPB2292ECH001  6162771  19 SEP 2017 12:09  SEGOT  8  1607  508055.63  0  2609  0  2609  N.A.  N.A.  Click here to view item wise reward details "/>
    <s v="Current Que LEO Date EP Copy Print Status DBK Scroll No Scroll Date EGM Integration Status_x000a_HIST  22 SEP 2017 00:09  Y  22137/2017  13 OCT 2017 00:10  Y "/>
    <s v="EGM No. EGM Date Container No. Seal No. Error Message_x000a_R627583009  2017-9-30 0.0.0.0  WHLU5123143  404839  N.A. "/>
    <s v="ROSL Availed Amount(INR) Scroll Number Scroll Date_x000a_N  0  ROSL NOT CLAIMED  ROSL NOT CLAIMED "/>
    <x v="166"/>
    <s v="AWB No. Gateway Port Gateway EGM No. Gateway EGM Date Gateway Site ID Error Code_x000a_N.A.  INNSA1  136236  2017-10-04 00:00:00.0  INNSA1  C "/>
    <x v="0"/>
    <x v="0"/>
  </r>
  <r>
    <x v="0"/>
    <n v="8752787"/>
    <s v="2017/09/19"/>
    <s v="IEC CHA No. Job No. Job Date Port of Discharge Total Package Gross Weight (Kg) FOB(INR) Total Cess (INR) Drawback STR Total (DBK+STR) CIN NO. CIN DT. Reward Flag_x000a_0598005536  AMJPS3049QCH001  6162967  19 SEP 2017 12:09  ZAPLZ  35  900  320266.38  0  4804  0  4804  N.A.  N.A.  Click here to view item wise reward details "/>
    <s v="Current Que LEO Date EP Copy Print Status DBK Scroll No Scroll Date EGM Integration Status_x000a_HIST  23 SEP 2017 00:09  Y  22260/2017  24 OCT 2017 00:10  Y "/>
    <s v="EGM No. EGM Date Container No. Seal No. Error Message_x000a_R1417663009  2017-9-30 0.0.0.0  MSCU3996447  404832  N.A. "/>
    <s v="ROSL Availed Amount(INR) Scroll Number Scroll Date_x000a_N  0  ROSL NOT CLAIMED  ROSL NOT CLAIMED "/>
    <x v="167"/>
    <s v="AWB No. Gateway Port Gateway EGM No. Gateway EGM Date Gateway Site ID Error Code_x000a_N.A.  INMUN1  136501  2017-10-08 00:00:00.0  INMUN1  S "/>
    <x v="0"/>
    <x v="0"/>
  </r>
  <r>
    <x v="0"/>
    <n v="8775656"/>
    <s v="2017/09/20"/>
    <s v="IEC CHA No. Job No. Job Date Port of Discharge Total Package Gross Weight (Kg) FOB(INR) Total Cess (INR) Drawback STR Total (DBK+STR) CIN NO. CIN DT. Reward Flag_x000a_0501045813  AACCC6225CCH001  6187499  20 SEP 2017 12:09  AEAUH  4  320  194985.6  0  0  0  0  N.A.  N.A.  Click here to view item wise reward details "/>
    <s v="Current Que LEO Date EP Copy Print Status DBK Scroll No Scroll Date EGM Integration Status_x000a_HIST  25 SEP 2017 00:09  Y  N.A.  N.A.  Y "/>
    <s v="EGM No. EGM Date Container No. Seal No. Error Message_x000a_R1287020910  2017-10-9 0.0.0.0  WHLU5190049  406519  N.A. "/>
    <s v="ROSL Availed Amount(INR) Scroll Number Scroll Date_x000a_NULL  NULL  NULL  NULL "/>
    <x v="168"/>
    <s v="AWB No. Gateway Port Gateway EGM No. Gateway EGM Date Gateway Site ID Error Code_x000a_N.A.  INNSA1  136144  2017-10-03 00:00:00.0  INNSA1  C "/>
    <x v="1"/>
    <x v="0"/>
  </r>
  <r>
    <x v="0"/>
    <n v="8783035"/>
    <s v="2017/09/20"/>
    <s v="IEC CHA No. Job No. Job Date Port of Discharge Total Package Gross Weight (Kg) FOB(INR) Total Cess (INR) Drawback STR Total (DBK+STR) CIN NO. CIN DT. Reward Flag_x000a_1216900370  AAECA9987BCH004  6195467  20 SEP 2017 12:09  AEJEA  4  6400  1220725  0  24415  0  24415  N.A.  N.A.  Click here to view item wise reward details "/>
    <s v="Current Que LEO Date EP Copy Print Status DBK Scroll No Scroll Date EGM Integration Status_x000a_HIST  23 SEP 2017 00:09  Y  22528/2017  10 NOV 2017 00:11  Y "/>
    <s v="EGM No. EGM Date Container No. Seal No. Error Message_x000a_R687402909  2017-9-29 0.0.0.0  ETEU8125022  404528  N.A. "/>
    <s v="ROSL Availed Amount(INR) Scroll Number Scroll Date_x000a_N  0  ROSL NOT CLAIMED  ROSL NOT CLAIMED "/>
    <x v="169"/>
    <s v="AWB No. Gateway Port Gateway EGM No. Gateway EGM Date Gateway Site ID Error Code_x000a_N.A.  INMUN1  N.A.  N.A.  N.A.  N.A. "/>
    <x v="0"/>
    <x v="0"/>
  </r>
  <r>
    <x v="0"/>
    <n v="8784077"/>
    <s v="2017/09/20"/>
    <s v="IEC CHA No. Job No. Job Date Port of Discharge Total Package Gross Weight (Kg) FOB(INR) Total Cess (INR) Drawback STR Total (DBK+STR) CIN NO. CIN DT. Reward Flag_x000a_0517500531  CUZPS3942QCH001  6196554  20 SEP 2017 12:09  THBKK  19  1645.5  1382961.25  0  3719  0  3719  N.A.  N.A.  Click here to view item wise reward details "/>
    <s v="Current Que LEO Date EP Copy Print Status DBK Scroll No Scroll Date EGM Integration Status_x000a_HIST  25 SEP 2017 00:09  Y  22260/2017  24 OCT 2017 00:10  Y "/>
    <s v="EGM No. EGM Date Container No. Seal No. Error Message_x000a_R1667180410  2017-10-4 0.0.0.0  GESU3267295  404881  N.A. "/>
    <s v="ROSL Availed Amount(INR) Scroll Number Scroll Date_x000a_N  0  ROSL NOT CLAIMED  ROSL NOT CLAIMED "/>
    <x v="170"/>
    <s v="Please Wait...."/>
    <x v="0"/>
    <x v="0"/>
  </r>
  <r>
    <x v="0"/>
    <n v="8794182"/>
    <s v="2017/09/21"/>
    <s v="IEC CHA No. Job No. Job Date Port of Discharge Total Package Gross Weight (Kg) FOB(INR) Total Cess (INR) Drawback STR Total (DBK+STR) CIN NO. CIN DT. Reward Flag_x000a_0508003300  AHDPK8975CCH001  6207489  21 SEP 2017 12:09  QADOH  13  3455  636421.5  0  12728  0  12728  N.A.  N.A.  Click here to view item wise reward details "/>
    <s v="Current Que LEO Date EP Copy Print Status DBK Scroll No Scroll Date EGM Integration Status_x000a_HIST  22 SEP 2017 00:09  Y  22374/2017  31 OCT 2017 00:10  Y "/>
    <s v="EGM No. EGM Date Container No. Seal No. Error Message_x000a_R957122609  2017-9-26 0.0.0.0  CAXU9027937  403976  N.A. "/>
    <s v="ROSL Availed Amount(INR) Scroll Number Scroll Date_x000a_N  0  ROSL NOT CLAIMED  ROSL NOT CLAIMED "/>
    <x v="171"/>
    <s v="AWB No. Gateway Port Gateway EGM No. Gateway EGM Date Gateway Site ID Error Code_x000a_N.A.  INNSA1  135731  2017-09-25 00:00:00.0  INNSA1  S "/>
    <x v="0"/>
    <x v="0"/>
  </r>
  <r>
    <x v="0"/>
    <n v="8796298"/>
    <s v="2017/09/21"/>
    <s v="IEC CHA No. Job No. Job Date Port of Discharge Total Package Gross Weight (Kg) FOB(INR) Total Cess (INR) Drawback STR Total (DBK+STR) CIN NO. CIN DT. Reward Flag_x000a_0397084901  AAACU5306LCH002  6209700  21 SEP 2017 12:09  TZDAR  40  912.927  372289.5  0  0  0  0  N.A.  N.A.  Click here to view item wise reward details "/>
    <s v="Current Que LEO Date EP Copy Print Status DBK Scroll No Scroll Date EGM Integration Status_x000a_HIST  26 SEP 2017 00:09  Y  N.A.  N.A.  Y "/>
    <s v="EGM No. EGM Date Container No. Seal No. Error Message_x000a_R1317440610  2017-10-6 0.0.0.0  GESU3460468  405618  N.A. "/>
    <s v="ROSL Availed Amount(INR) Scroll Number Scroll Date_x000a_NULL  NULL  NULL  NULL "/>
    <x v="172"/>
    <s v="AWB No. Gateway Port Gateway EGM No. Gateway EGM Date Gateway Site ID Error Code_x000a_N.A.  INNSA1  135726  2017-09-25 00:00:00.0  INNSA1  S "/>
    <x v="1"/>
    <x v="54"/>
  </r>
  <r>
    <x v="0"/>
    <n v="8826748"/>
    <s v="2017/09/22"/>
    <s v="IEC CHA No. Job No. Job Date Port of Discharge Total Package Gross Weight (Kg) FOB(INR) Total Cess (INR) Drawback STR Total (DBK+STR) CIN NO. CIN DT. Reward Flag_x000a_0595012647  AAACC6689ECH001  6242266  22 SEP 2017 12:09  PKKHI  457  7039  1926629.43  0  28899  0  28899  N.A.  N.A.  Click here to view item wise reward details "/>
    <s v="Current Que LEO Date EP Copy Print Status DBK Scroll No Scroll Date EGM Integration Status_x000a_HIST  11 OCT 2017 00:10  Y  22374/2017  31 OCT 2017 00:10  Y "/>
    <s v="EGM No. EGM Date Container No. Seal No. Error Message_x000a_R557581410  2017-10-14 0.0.0.0  SEGU4659588  407217  N.A. "/>
    <s v="ROSL Availed Amount(INR) Scroll Number Scroll Date_x000a_N  0  ROSL NOT CLAIMED  ROSL NOT CLAIMED "/>
    <x v="173"/>
    <s v="AWB No. Gateway Port Gateway EGM No. Gateway EGM Date Gateway Site ID Error Code_x000a_N.A.  INMUN1  136070  2017-09-29 00:00:00.0  INMUN1  S "/>
    <x v="0"/>
    <x v="0"/>
  </r>
  <r>
    <x v="0"/>
    <n v="8848896"/>
    <s v="2017/09/23"/>
    <s v="IEC CHA No. Job No. Job Date Port of Discharge Total Package Gross Weight (Kg) FOB(INR) Total Cess (INR) Drawback STR Total (DBK+STR) CIN NO. CIN DT. Reward Flag_x000a_0504064754  FHMPS1058ECH001  6265937  23 SEP 2017 12:09  LKCMB  4  430  669477.45  0  13254  0  13254  N.A.  N.A.  Click here to view item wise reward details "/>
    <s v="Current Que LEO Date EP Copy Print Status DBK Scroll No Scroll Date EGM Integration Status_x000a_HIST  27 SEP 2017 00:09  Y  22260/2017  24 OCT 2017 00:10  Y "/>
    <s v="EGM No. EGM Date Container No. Seal No. Error Message_x000a_R577800810  2017-10-8 0.0.0.0  HDMU6805133  406508  N.A. "/>
    <s v="ROSL Availed Amount(INR) Scroll Number Scroll Date_x000a_N  0  ROSL NOT CLAIMED  ROSL NOT CLAIMED "/>
    <x v="174"/>
    <s v="AWB No. Gateway Port Gateway EGM No. Gateway EGM Date Gateway Site ID Error Code_x000a_N.A.  INNSA1  135331  2017-09-19 00:00:00.0  INNSA1  S "/>
    <x v="0"/>
    <x v="24"/>
  </r>
  <r>
    <x v="0"/>
    <n v="8849157"/>
    <s v="2017/09/23"/>
    <s v="IEC CHA No. Job No. Job Date Port of Discharge Total Package Gross Weight (Kg) FOB(INR) Total Cess (INR) Drawback STR Total (DBK+STR) CIN NO. CIN DT. Reward Flag_x000a_0595012647  AAACC6689ECH001  6266212  23 SEP 2017 12:09  PKKHI  1558  24084  4723665.86  0  70855  0  70855  N.A.  N.A.  Click here to view item wise reward details "/>
    <s v="Current Que LEO Date EP Copy Print Status DBK Scroll No Scroll Date EGM Integration Status_x000a_HIST  28 SEP 2017 00:09  Y  22137/2017  13 OCT 2017 00:10  Y "/>
    <s v="EGM No. EGM Date Container No. Seal No. Error Message_x000a_R557720110  2017-10-1 0.0.0.0  BMOU6932354  001869  N.A. "/>
    <s v="ROSL Availed Amount(INR) Scroll Number Scroll Date_x000a_N  0  ROSL NOT CLAIMED  ROSL NOT CLAIMED "/>
    <x v="175"/>
    <s v="AWB No. Gateway Port Gateway EGM No. Gateway EGM Date Gateway Site ID Error Code_x000a_N.A.  INMUN1  134212  2017-08-30 00:00:00.0  INMUN1  S "/>
    <x v="0"/>
    <x v="0"/>
  </r>
  <r>
    <x v="0"/>
    <n v="8876829"/>
    <s v="2017/09/25"/>
    <s v="IEC CHA No. Job No. Job Date Port of Discharge Total Package Gross Weight (Kg) FOB(INR) Total Cess (INR) Drawback STR Total (DBK+STR) CIN NO. CIN DT. Reward Flag_x000a_3397001846  AACCP0287DCH001  6295756  25 SEP 2017 12:09  COBUN  58  3295.5  465626.62  0  6984  0  6984  N.A.  N.A.  Click here to view item wise reward details "/>
    <s v="Current Que LEO Date EP Copy Print Status DBK Scroll No Scroll Date EGM Integration Status_x000a_HIST  28 SEP 2017 00:09  Y  22260/2017  24 OCT 2017 00:10  Y "/>
    <s v="EGM No. EGM Date Container No. Seal No. Error Message_x000a_R1217640710  2017-10-7 0.0.0.0  MRKU6860723  406078  N.A. "/>
    <s v="ROSL Availed Amount(INR) Scroll Number Scroll Date_x000a_N  0  ROSL NOT CLAIMED  ROSL NOT CLAIMED "/>
    <x v="176"/>
    <s v="AWB No. Gateway Port Gateway EGM No. Gateway EGM Date Gateway Site ID Error Code_x000a_N.A.  INNSA1  134677  2017-09-07 00:00:00.0  INNSA1  S "/>
    <x v="0"/>
    <x v="0"/>
  </r>
  <r>
    <x v="0"/>
    <n v="8876935"/>
    <s v="2017/09/25"/>
    <s v="IEC CHA No. Job No. Job Date Port of Discharge Total Package Gross Weight (Kg) FOB(INR) Total Cess (INR) Drawback STR Total (DBK+STR) CIN NO. CIN DT. Reward Flag_x000a_3397001846  AACCP0287DCH001  6295879  25 SEP 2017 12:09  COBUN  60  3785.3  495278.97  0  7429  0  7429  N.A.  N.A.  Click here to view item wise reward details "/>
    <s v="Current Que LEO Date EP Copy Print Status DBK Scroll No Scroll Date EGM Integration Status_x000a_HIST  28 SEP 2017 00:09  Y  22260/2017  24 OCT 2017 00:10  Y "/>
    <s v="EGM No. EGM Date Container No. Seal No. Error Message_x000a_R1317440610  2017-10-6 0.0.0.0  MRKU6812849  406077  N.A. "/>
    <s v="ROSL Availed Amount(INR) Scroll Number Scroll Date_x000a_N  0  ROSL NOT CLAIMED  ROSL NOT CLAIMED "/>
    <x v="177"/>
    <s v="AWB No. Gateway Port Gateway EGM No. Gateway EGM Date Gateway Site ID Error Code_x000a_N.A.  INNSA1  134677  2017-09-07 00:00:00.0  INNSA1  S "/>
    <x v="0"/>
    <x v="0"/>
  </r>
  <r>
    <x v="0"/>
    <n v="8898683"/>
    <s v="2017/09/26"/>
    <s v="IEC CHA No. Job No. Job Date Port of Discharge Total Package Gross Weight (Kg) FOB(INR) Total Cess (INR) Drawback STR Total (DBK+STR) CIN NO. CIN DT. Reward Flag_x000a_0594048621  AASPK9028QCH001  6319139  26 SEP 2017 12:09  BEANR  15  1064  519395.84  0  43153  0  43153  N.A.  N.A.  Click here to view item wise reward details "/>
    <s v="Current Que LEO Date EP Copy Print Status DBK Scroll No Scroll Date EGM Integration Status_x000a_HIST  29 SEP 2017 00:09  Y  22374/2017  31 OCT 2017 00:10  Y "/>
    <s v="EGM No. EGM Date Container No. Seal No. Error Message_x000a_TX227401910  2017-10-19 0.0.0.0  CAXU3150029  407289  N.A. "/>
    <s v="ROSL Availed Amount(INR) Scroll Number Scroll Date_x000a_N  0  ROSL NOT CLAIMED  ROSL NOT CLAIMED "/>
    <x v="178"/>
    <s v="AWB No. Gateway Port Gateway EGM No. Gateway EGM Date Gateway Site ID Error Code_x000a_N.A.  INMUN1  135372  2017-09-19 00:00:00.0  INMUN1  S "/>
    <x v="0"/>
    <x v="55"/>
  </r>
  <r>
    <x v="0"/>
    <n v="8909116"/>
    <s v="2017/09/26"/>
    <s v="IEC CHA No. Job No. Job Date Port of Discharge Total Package Gross Weight (Kg) FOB(INR) Total Cess (INR) Drawback STR Total (DBK+STR) CIN NO. CIN DT. Reward Flag_x000a_DOOPK1147B  AJXPC1898GCH001  633027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19"/>
    <s v="2017/09/26"/>
    <s v="IEC CHA No. Job No. Job Date Port of Discharge Total Package Gross Weight (Kg) FOB(INR) Total Cess (INR) Drawback STR Total (DBK+STR) CIN NO. CIN DT. Reward Flag_x000a_DOOPK1147B  AJXPC1898GCH001  6330279  26 SEP 2017 12:09  AEJEA  40  800  4973148.18  0  487369  0  487369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4275  25851/2017  2017-11-10 0.0.0.0 "/>
    <x v="180"/>
    <s v="AWB No. Gateway Port Gateway EGM No. Gateway EGM Date Gateway Site ID Error Code_x000a_N.A.  INMUN1  139832  2017-11-30 00:00:00.0  INMUN1  S "/>
    <x v="2"/>
    <x v="0"/>
  </r>
  <r>
    <x v="0"/>
    <n v="8909141"/>
    <s v="2017/09/26"/>
    <s v="IEC CHA No. Job No. Job Date Port of Discharge Total Package Gross Weight (Kg) FOB(INR) Total Cess (INR) Drawback STR Total (DBK+STR) CIN NO. CIN DT. Reward Flag_x000a_DOOPK1147B  AJXPC1898GCH001  6330311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43"/>
    <s v="2017/09/26"/>
    <s v="IEC CHA No. Job No. Job Date Port of Discharge Total Package Gross Weight (Kg) FOB(INR) Total Cess (INR) Drawback STR Total (DBK+STR) CIN NO. CIN DT. Reward Flag_x000a_DOOPK1147B  AJXPC1898GCH001  6330308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48"/>
    <s v="2017/09/26"/>
    <s v="IEC CHA No. Job No. Job Date Port of Discharge Total Package Gross Weight (Kg) FOB(INR) Total Cess (INR) Drawback STR Total (DBK+STR) CIN NO. CIN DT. Reward Flag_x000a_DOOPK1147B  AJXPC1898GCH001  6330314  26 SEP 2017 12:09  AEJEA  54  918  4903778.88  0  480570  0  480570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2402  25851/2017  2017-11-10 0.0.0.0 "/>
    <x v="181"/>
    <s v="AWB No. Gateway Port Gateway EGM No. Gateway EGM Date Gateway Site ID Error Code_x000a_N.A.  INMUN1  139832  2017-11-30 00:00:00.0  INMUN1  S "/>
    <x v="2"/>
    <x v="0"/>
  </r>
  <r>
    <x v="0"/>
    <n v="8910761"/>
    <s v="2017/09/26"/>
    <s v="IEC CHA No. Job No. Job Date Port of Discharge Total Package Gross Weight (Kg) FOB(INR) Total Cess (INR) Drawback STR Total (DBK+STR) CIN NO. CIN DT. Reward Flag_x000a_DOOPK1147B  AJXPC1898GCH001  633205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13772"/>
    <s v="2017/09/26"/>
    <s v="IEC CHA No. Job No. Job Date Port of Discharge Total Package Gross Weight (Kg) FOB(INR) Total Cess (INR) Drawback STR Total (DBK+STR) CIN NO. CIN DT. Reward Flag_x000a_0510005021  AQBPK4529MCH001  6335318  26 SEP 2017 12:09  IDJKT  2  300  132432.3  0  0  0  0  N.A.  N.A.  Click here to view item wise reward details "/>
    <s v="Current Que LEO Date EP Copy Print Status DBK Scroll No Scroll Date EGM Integration Status_x000a_HIST  04 OCT 2017 00:10  Y  N.A.  N.A.  Y "/>
    <s v="EGM No. EGM Date Container No. Seal No. Error Message_x000a_R137720810  2017-10-8 0.0.0.0  CNSU2028217  405679  N.A. "/>
    <s v="ROSL Availed Amount(INR) Scroll Number Scroll Date_x000a_NULL  NULL  NULL  NULL "/>
    <x v="182"/>
    <s v="AWB No. Gateway Port Gateway EGM No. Gateway EGM Date Gateway Site ID Error Code_x000a_N.A.  INMUN1  137768  2017-10-28 00:00:00.0  INMUN1  S "/>
    <x v="1"/>
    <x v="0"/>
  </r>
  <r>
    <x v="0"/>
    <n v="8937407"/>
    <s v="2017/09/27"/>
    <s v="IEC CHA No. Job No. Job Date Port of Discharge Total Package Gross Weight (Kg) FOB(INR) Total Cess (INR) Drawback STR Total (DBK+STR) CIN NO. CIN DT. Reward Flag_x000a_0509035337  AAACT6486CCH003  6360604  27 SEP 2017 12:09  LKCMB  418  13886.7  1484685.84  0  21072  0  21072  N.A.  N.A.  Click here to view item wise reward details "/>
    <s v="Current Que LEO Date EP Copy Print Status DBK Scroll No Scroll Date EGM Integration Status_x000a_HIST  04 OCT 2017 00:10  Y  22260/2017  24 OCT 2017 00:10  Y "/>
    <s v="EGM No. EGM Date Container No. Seal No. Error Message_x000a_R1217640710  2017-10-7 0.0.0.0  WHLU2822403  406178  N.A. "/>
    <s v="ROSL Availed Amount(INR) Scroll Number Scroll Date_x000a_N  0  ROSL NOT CLAIMED  ROSL NOT CLAIMED "/>
    <x v="183"/>
    <s v="AWB No. Gateway Port Gateway EGM No. Gateway EGM Date Gateway Site ID Error Code_x000a_N.A.  INNSA1  136158  2017-10-03 00:00:00.0  INNSA1  S "/>
    <x v="0"/>
    <x v="56"/>
  </r>
  <r>
    <x v="0"/>
    <n v="8942181"/>
    <s v="2017/09/27"/>
    <s v="IEC CHA No. Job No. Job Date Port of Discharge Total Package Gross Weight (Kg) FOB(INR) Total Cess (INR) Drawback STR Total (DBK+STR) CIN NO. CIN DT. Reward Flag_x000a_0599059206  AQBPK4529MCH001  6365735  27 SEP 2017 12:09  MVMLE  2100  2130  901609.8  0  0  0  0  N.A.  N.A.  Click here to view item wise reward details "/>
    <s v="Current Que LEO Date EP Copy Print Status DBK Scroll No Scroll Date EGM Integration Status_x000a_HIST  03 OCT 2017 00:10  Y  N.A.  N.A.  Y "/>
    <s v="EGM No. EGM Date Container No. Seal No. Error Message_x000a_T437260510  2017-10-5 0.0.0.0  TCNU4466055  000948  N.A. "/>
    <s v="ROSL Availed Amount(INR) Scroll Number Scroll Date_x000a_NULL  NULL  NULL  NULL "/>
    <x v="184"/>
    <s v="AWB No. Gateway Port Gateway EGM No. Gateway EGM Date Gateway Site ID Error Code_x000a_N.A.  INMUN1  136519  2017-10-09 00:00:00.0  INMUN1  S "/>
    <x v="1"/>
    <x v="57"/>
  </r>
  <r>
    <x v="0"/>
    <n v="8942185"/>
    <s v="2017/09/27"/>
    <s v="IEC CHA No. Job No. Job Date Port of Discharge Total Package Gross Weight (Kg) FOB(INR) Total Cess (INR) Drawback STR Total (DBK+STR) CIN NO. CIN DT. Reward Flag_x000a_0599059206  AQBPK4529MCH001  6365733  27 SEP 2017 12:09  MVMLE  900  913  386404.2  0  0  0  0  N.A.  N.A.  Click here to view item wise reward details "/>
    <s v="Current Que LEO Date EP Copy Print Status DBK Scroll No Scroll Date EGM Integration Status_x000a_HIST  03 OCT 2017 00:10  Y  N.A.  N.A.  Y "/>
    <s v="EGM No. EGM Date Container No. Seal No. Error Message_x000a_T897160410  2017-10-4 0.0.0.0  TCKU1990300  000949  N.A. "/>
    <s v="ROSL Availed Amount(INR) Scroll Number Scroll Date_x000a_NULL  NULL  NULL  NULL "/>
    <x v="185"/>
    <s v="AWB No. Gateway Port Gateway EGM No. Gateway EGM Date Gateway Site ID Error Code_x000a_N.A.  INMUN1  136519  2017-10-09 00:00:00.0  INMUN1  S "/>
    <x v="1"/>
    <x v="57"/>
  </r>
  <r>
    <x v="0"/>
    <n v="8961510"/>
    <s v="2017/09/28"/>
    <s v="IEC CHA No. Job No. Job Date Port of Discharge Total Package Gross Weight (Kg) FOB(INR) Total Cess (INR) Drawback STR Total (DBK+STR) CIN NO. CIN DT. Reward Flag_x000a_0515036919  AARFS2414BCH002  6386402  28 SEP 2017 12:09  ILASH  228  3274.08  2636033.4  0  202975  0  202975  N.A.  N.A.  Click here to view item wise reward details "/>
    <s v="Current Que LEO Date EP Copy Print Status DBK Scroll No Scroll Date EGM Integration Status_x000a_HIST  29 SEP 2017 00:09  Y  22260/2017  24 OCT 2017 00:10  Y "/>
    <s v="EGM No. EGM Date Container No. Seal No. Error Message_x000a_R1287020910  2017-10-9 0.0.0.0  CCSU8593755  405692  N.A. "/>
    <s v="ROSL Availed Amount(INR) Scroll Number Scroll Date_x000a_Y  86988  25844/2017  2017-10-31 0.0.0.0 "/>
    <x v="186"/>
    <s v="AWB No. Gateway Port Gateway EGM No. Gateway EGM Date Gateway Site ID Error Code_x000a_N.A.  INNSA1  136238  2017-10-04 00:00:00.0  INNSA1  S "/>
    <x v="2"/>
    <x v="0"/>
  </r>
  <r>
    <x v="0"/>
    <n v="8961708"/>
    <s v="2017/09/28"/>
    <s v="IEC CHA No. Job No. Job Date Port of Discharge Total Package Gross Weight (Kg) FOB(INR) Total Cess (INR) Drawback STR Total (DBK+STR) CIN NO. CIN DT. Reward Flag_x000a_3104003254  AAACA3307KCH003  6386620  28 SEP 2017 12:09  ARBUE  1  8  158368.5  0  3167  0  3167  N.A.  N.A.  Click here to view item wise reward details "/>
    <s v="Current Que LEO Date EP Copy Print Status DBK Scroll No Scroll Date EGM Integration Status_x000a_HIST  06 OCT 2017 00:10  Y  22374/2017  31 OCT 2017 00:10  Y "/>
    <s v="EGM No. EGM Date Container No. Seal No. Error Message_x000a_T567481910  2017-10-19 0.0.0.0  NYKU4815253  407294  N.A. "/>
    <s v="ROSL Availed Amount(INR) Scroll Number Scroll Date_x000a_N  0  ROSL NOT CLAIMED  ROSL NOT CLAIMED "/>
    <x v="187"/>
    <s v="AWB No. Gateway Port Gateway EGM No. Gateway EGM Date Gateway Site ID Error Code_x000a_N.A.  INNSA1  136898  2017-10-13 00:00:00.0  INNSA1  S "/>
    <x v="0"/>
    <x v="0"/>
  </r>
  <r>
    <x v="0"/>
    <n v="8964619"/>
    <s v="2017/09/28"/>
    <s v="IEC CHA No. Job No. Job Date Port of Discharge Total Package Gross Weight (Kg) FOB(INR) Total Cess (INR) Drawback STR Total (DBK+STR) CIN NO. CIN DT. Reward Flag_x000a_0588079359  AAACU5306LCH002  6389738  28 SEP 2017 12:09  NOOSL  3  1168.5  303050.84  0  6061  0  6061  N.A.  N.A.  Click here to view item wise reward details "/>
    <s v="Current Que LEO Date EP Copy Print Status DBK Scroll No Scroll Date EGM Integration Status_x000a_HIST  06 OCT 2017 00:10  Y  22260/2017  24 OCT 2017 00:10  Y "/>
    <s v="EGM No. EGM Date Container No. Seal No. Error Message_x000a_R37161110  2017-10-11 0.0.0.0  WHLU5142863  406553  N.A. "/>
    <s v="ROSL Availed Amount(INR) Scroll Number Scroll Date_x000a_N  0  ROSL NOT CLAIMED  ROSL NOT CLAIMED "/>
    <x v="188"/>
    <s v="AWB No. Gateway Port Gateway EGM No. Gateway EGM Date Gateway Site ID Error Code_x000a_N.A.  INNSA1  N.A.  N.A.  N.A.  N.A. "/>
    <x v="0"/>
    <x v="58"/>
  </r>
  <r>
    <x v="0"/>
    <n v="8966600"/>
    <s v="2017/09/28"/>
    <s v="IEC CHA No. Job No. Job Date Port of Discharge Total Package Gross Weight (Kg) FOB(INR) Total Cess (INR) Drawback STR Total (DBK+STR) CIN NO. CIN DT. Reward Flag_x000a_3104003254  AAACA3307KCH003  6391825  28 SEP 2017 12:09  ARBUE  1  47  757849.2  0  15157  0  15157  N.A.  N.A.  Click here to view item wise reward details "/>
    <s v="Current Que LEO Date EP Copy Print Status DBK Scroll No Scroll Date EGM Integration Status_x000a_HIST  06 OCT 2017 00:10  Y  24432/2018  25 MAR 2018 00:03  Y "/>
    <s v="EGM No. EGM Date Container No. Seal No. Error Message_x000a_T567481910  2017-10-19 0.0.0.0  NYKU4815253  407294  N.A. "/>
    <s v="ROSL Availed Amount(INR) Scroll Number Scroll Date_x000a_N  0  ROSL NOT CLAIMED  ROSL NOT CLAIMED "/>
    <x v="189"/>
    <s v="AWB No. Gateway Port Gateway EGM No. Gateway EGM Date Gateway Site ID Error Code_x000a_N.A.  INNSA1  136898  2017-10-13 00:00:00.0  INNSA1  S "/>
    <x v="0"/>
    <x v="0"/>
  </r>
  <r>
    <x v="0"/>
    <n v="8967109"/>
    <s v="2017/09/28"/>
    <s v="IEC CHA No. Job No. Job Date Port of Discharge Total Package Gross Weight (Kg) FOB(INR) Total Cess (INR) Drawback STR Total (DBK+STR) CIN NO. CIN DT. Reward Flag_x000a_3104003254  AAACA3307KCH003  6392344  28 SEP 2017 12:09  ARBUE  4  142.4  1977449.4  0  39511  0  39511  N.A.  N.A.  Click here to view item wise reward details "/>
    <s v="Current Que LEO Date EP Copy Print Status DBK Scroll No Scroll Date EGM Integration Status_x000a_HIST  09 OCT 2017 00:10  Y  22374/2017  31 OCT 2017 00:10  Y "/>
    <s v="EGM No. EGM Date Container No. Seal No. Error Message_x000a_T567481910  2017-10-19 0.0.0.0  NYKU4815253  407294  N.A. "/>
    <s v="ROSL Availed Amount(INR) Scroll Number Scroll Date_x000a_N  0  ROSL NOT CLAIMED  ROSL NOT CLAIMED "/>
    <x v="190"/>
    <s v="AWB No. Gateway Port Gateway EGM No. Gateway EGM Date Gateway Site ID Error Code_x000a_N.A.  INNSA1  136898  2017-10-13 00:00:00.0  INNSA1  S "/>
    <x v="0"/>
    <x v="0"/>
  </r>
  <r>
    <x v="0"/>
    <n v="8967731"/>
    <s v="2017/09/28"/>
    <s v="IEC CHA No. Job No. Job Date Port of Discharge Total Package Gross Weight (Kg) FOB(INR) Total Cess (INR) Drawback STR Total (DBK+STR) CIN NO. CIN DT. Reward Flag_x000a_3104003254  AAACA3307KCH003  6393025  28 SEP 2017 12:09  USNYC  6  298  374976.42  0  6682  0  6682  N.A.  N.A.  Click here to view item wise reward details "/>
    <s v="Current Que LEO Date EP Copy Print Status DBK Scroll No Scroll Date EGM Integration Status_x000a_HIST  06 OCT 2017 00:10  Y  22374/2017  31 OCT 2017 00:10  Y "/>
    <s v="EGM No. EGM Date Container No. Seal No. Error Message_x000a_J467261810  2017-10-18 0.0.0.0  TCNU6969193  407275  N.A. "/>
    <s v="ROSL Availed Amount(INR) Scroll Number Scroll Date_x000a_N  0  ROSL NOT CLAIMED  ROSL NOT CLAIMED "/>
    <x v="191"/>
    <s v="AWB No. Gateway Port Gateway EGM No. Gateway EGM Date Gateway Site ID Error Code_x000a_N.A.  INMUN1  135373  2017-09-19 00:00:00.0  INMUN1  S "/>
    <x v="0"/>
    <x v="0"/>
  </r>
  <r>
    <x v="0"/>
    <n v="8999430"/>
    <s v="2017/09/29"/>
    <s v="IEC CHA No. Job No. Job Date Port of Discharge Total Package Gross Weight (Kg) FOB(INR) Total Cess (INR) Drawback STR Total (DBK+STR) CIN NO. CIN DT. Reward Flag_x000a_0589053850  AALCS5528DCH001  6427013  29 SEP 2017 12:09  QADOH  5  2590  400321.38  0  8006  0  8006  N.A.  N.A.  Click here to view item wise reward details "/>
    <s v="Current Que LEO Date EP Copy Print Status DBK Scroll No Scroll Date EGM Integration Status_x000a_HIST  04 OCT 2017 00:10  Y  22374/2017  31 OCT 2017 00:10  Y "/>
    <s v="EGM No. EGM Date Container No. Seal No. Error Message_x000a_R297241810  2017-10-18 0.0.0.0  MRKU9663923  407271  N.A. "/>
    <s v="ROSL Availed Amount(INR) Scroll Number Scroll Date_x000a_N  0  ROSL NOT CLAIMED  ROSL NOT CLAIMED "/>
    <x v="192"/>
    <s v="AWB No. Gateway Port Gateway EGM No. Gateway EGM Date Gateway Site ID Error Code_x000a_N.A.  INNSA1  135755  2017-09-25 00:00:00.0  INNSA1  NC "/>
    <x v="0"/>
    <x v="59"/>
  </r>
  <r>
    <x v="0"/>
    <n v="9000406"/>
    <s v="2017/09/29"/>
    <s v="IEC CHA No. Job No. Job Date Port of Discharge Total Package Gross Weight (Kg) FOB(INR) Total Cess (INR) Drawback STR Total (DBK+STR) CIN NO. CIN DT. Reward Flag_x000a_0595012647  AAACC6689ECH001  6428046  29 SEP 2017 12:09  PKKHI  746  10619  3765676.46  0  56485  0  56485  N.A.  N.A.  Click here to view item wise reward details "/>
    <s v="Current Que LEO Date EP Copy Print Status DBK Scroll No Scroll Date EGM Integration Status_x000a_HIST  10 OCT 2017 00:10  Y  22374/2017  31 OCT 2017 00:10  Y "/>
    <s v="EGM No. EGM Date Container No. Seal No. Error Message_x000a_R1477041710  2017-10-17 0.0.0.0  BMOU6923100  406966  N.A. "/>
    <s v="ROSL Availed Amount(INR) Scroll Number Scroll Date_x000a_N  0  ROSL NOT CLAIMED  ROSL NOT CLAIMED "/>
    <x v="193"/>
    <s v="AWB No. Gateway Port Gateway EGM No. Gateway EGM Date Gateway Site ID Error Code_x000a_N.A.  INMUN1  136071  2017-09-29 00:00:00.0  INMUN1  S "/>
    <x v="0"/>
    <x v="60"/>
  </r>
  <r>
    <x v="0"/>
    <n v="9003019"/>
    <s v="2017/09/29"/>
    <s v="IEC CHA No. Job No. Job Date Port of Discharge Total Package Gross Weight (Kg) FOB(INR) Total Cess (INR) Drawback STR Total (DBK+STR) CIN NO. CIN DT. Reward Flag_x000a_0595012647  AAACC6689ECH001  6430835  29 SEP 2017 12:09  PKKHI  833  8404  5375435.34  0  80632  0  80632  N.A.  N.A.  Click here to view item wise reward details "/>
    <s v="Current Que LEO Date EP Copy Print Status DBK Scroll No Scroll Date EGM Integration Status_x000a_HIST  11 OCT 2017 00:10  Y  22374/2017  31 OCT 2017 00:10  Y "/>
    <s v="EGM No. EGM Date Container No. Seal No. Error Message_x000a_R1477041710  2017-10-17 0.0.0.0  BMOU6923100  406966  N.A. "/>
    <s v="ROSL Availed Amount(INR) Scroll Number Scroll Date_x000a_N  0  ROSL NOT CLAIMED  ROSL NOT CLAIMED "/>
    <x v="194"/>
    <s v="AWB No. Gateway Port Gateway EGM No. Gateway EGM Date Gateway Site ID Error Code_x000a_N.A.  INMUN1  136071  2017-09-29 00:00:00.0  INMUN1  S "/>
    <x v="0"/>
    <x v="61"/>
  </r>
  <r>
    <x v="0"/>
    <n v="9009228"/>
    <s v="2017/09/29"/>
    <s v="IEC CHA No. Job No. Job Date Port of Discharge Total Package Gross Weight (Kg) FOB(INR) Total Cess (INR) Drawback STR Total (DBK+STR) CIN NO. CIN DT. Reward Flag_x000a_2915001367  BEEPS0785MCH001  6437389  29 SEP 2017 12:09  MUPLU  61  630.32  394472.44  0  0  0  0  N.A.  N.A.  Click here to view item wise reward details "/>
    <s v="Current Que LEO Date EP Copy Print Status DBK Scroll No Scroll Date EGM Integration Status_x000a_HIST  03 OCT 2017 00:10  Y  N.A.  N.A.  Y "/>
    <s v="EGM No. EGM Date Container No. Seal No. Error Message_x000a_R1287020910  2017-10-9 0.0.0.0  TCKU1325362  406513  N.A. "/>
    <s v="ROSL Availed Amount(INR) Scroll Number Scroll Date_x000a_NULL  NULL  NULL  NULL "/>
    <x v="195"/>
    <s v="AWB No. Gateway Port Gateway EGM No. Gateway EGM Date Gateway Site ID Error Code_x000a_N.A.  INNSA1  135119  2017-09-14 00:00:00.0  INNSA1  S "/>
    <x v="1"/>
    <x v="0"/>
  </r>
  <r>
    <x v="0"/>
    <n v="9029616"/>
    <s v="2017/10/03"/>
    <s v="IEC CHA No. Job No. Job Date Port of Discharge Total Package Gross Weight (Kg) FOB(INR) Total Cess (INR) Drawback STR Total (DBK+STR) CIN NO. CIN DT. Reward Flag_x000a_0598059113  AASPK9028QCH001  6461434  03 OCT 2017 12:10  AEJEA  845  10250  1383309.2  0  27666  0  27666  N.A.  N.A.  Click here to view item wise reward details "/>
    <s v="Current Que LEO Date EP Copy Print Status DBK Scroll No Scroll Date EGM Integration Status_x000a_HIST  05 OCT 2017 00:10  Y  22260/2017  24 OCT 2017 00:10  Y "/>
    <s v="EGM No. EGM Date Container No. Seal No. Error Message_x000a_R137720810  2017-10-8 0.0.0.0  BAXU2688364  406251  N.A. "/>
    <s v="ROSL Availed Amount(INR) Scroll Number Scroll Date_x000a_N  0  ROSL NOT CLAIMED  ROSL NOT CLAIMED "/>
    <x v="196"/>
    <s v="AWB No. Gateway Port Gateway EGM No. Gateway EGM Date Gateway Site ID Error Code_x000a_N.A.  INMUN1  136518  2017-10-09 00:00:00.0  INMUN1  S "/>
    <x v="0"/>
    <x v="0"/>
  </r>
  <r>
    <x v="0"/>
    <n v="9049883"/>
    <s v="2017/10/03"/>
    <s v="IEC CHA No. Job No. Job Date Port of Discharge Total Package Gross Weight (Kg) FOB(INR) Total Cess (INR) Drawback STR Total (DBK+STR) CIN NO. CIN DT. Reward Flag_x000a_0506012905  FHMPS1058ECH001  6485787  03 OCT 2017 12:10  MYPKG  236  23624.15  886195.04  0  0  0  0  N.A.  N.A.  Click here to view item wise reward details "/>
    <s v="Current Que LEO Date EP Copy Print Status DBK Scroll No Scroll Date EGM Integration Status_x000a_HIST  05 OCT 2017 00:10  Y  N.A.  N.A.  Y "/>
    <s v="EGM No. EGM Date Container No. Seal No. Error Message_x000a_R37161110  2017-10-11 0.0.0.0  GESU2985600  40629  N.A. "/>
    <s v="ROSL Availed Amount(INR) Scroll Number Scroll Date_x000a_NULL  NULL  NULL  NULL "/>
    <x v="197"/>
    <s v="AWB No. Gateway Port Gateway EGM No. Gateway EGM Date Gateway Site ID Error Code_x000a_N.A.  INNSA1  136163  2017-10-03 00:00:00.0  INNSA1  C "/>
    <x v="1"/>
    <x v="62"/>
  </r>
  <r>
    <x v="0"/>
    <n v="9064900"/>
    <s v="2017/10/04"/>
    <s v="IEC CHA No. Job No. Job Date Port of Discharge Total Package Gross Weight (Kg) FOB(INR) Total Cess (INR) Drawback STR Total (DBK+STR) CIN NO. CIN DT. Reward Flag_x000a_0504063227  AACCP0287DCH001  6504228  04 OCT 2017 12:10  THLCH  4  940  362593.14  0  7252  0  7252  N.A.  N.A.  Click here to view item wise reward details "/>
    <s v="Current Que LEO Date EP Copy Print Status DBK Scroll No Scroll Date EGM Integration Status_x000a_HIST  07 OCT 2017 00:10  Y  22374/2017  31 OCT 2017 00:10  Y "/>
    <s v="EGM No. EGM Date Container No. Seal No. Error Message_x000a_R867621410  2017-10-14 0.0.0.0  NYKU2797166  407212  N.A. "/>
    <s v="ROSL Availed Amount(INR) Scroll Number Scroll Date_x000a_N  0  ROSL NOT CLAIMED  ROSL NOT CLAIMED "/>
    <x v="198"/>
    <s v="AWB No. Gateway Port Gateway EGM No. Gateway EGM Date Gateway Site ID Error Code_x000a_N.A.  INNSA1  135895  2017-09-27 00:00:00.0  INNSA1  S "/>
    <x v="0"/>
    <x v="63"/>
  </r>
  <r>
    <x v="0"/>
    <n v="9073097"/>
    <s v="2017/10/04"/>
    <s v="IEC CHA No. Job No. Job Date Port of Discharge Total Package Gross Weight (Kg) FOB(INR) Total Cess (INR) Drawback STR Total (DBK+STR) CIN NO. CIN DT. Reward Flag_x000a_0588024317  AACFS5709ACH001  6513403  04 OCT 2017 12:10  MUPLU  11  126.5  161777.62  0  0  0  0  N.A.  N.A.  Click here to view item wise reward details "/>
    <s v="Current Que LEO Date EP Copy Print Status DBK Scroll No Scroll Date EGM Integration Status_x000a_HIST  09 OCT 2017 00:10  Y  N.A.  N.A.  Y "/>
    <s v="EGM No. EGM Date Container No. Seal No. Error Message_x000a_R867621410  2017-10-14 0.0.0.0  GVCU5250627  407221  N.A. "/>
    <s v="ROSL Availed Amount(INR) Scroll Number Scroll Date_x000a_NULL  NULL  NULL  NULL "/>
    <x v="199"/>
    <s v="AWB No. Gateway Port Gateway EGM No. Gateway EGM Date Gateway Site ID Error Code_x000a_N.A.  INNSA1  135126  2017-09-14 00:00:00.0  INNSA1  S "/>
    <x v="1"/>
    <x v="0"/>
  </r>
  <r>
    <x v="0"/>
    <n v="9086361"/>
    <s v="2017/10/05"/>
    <s v="IEC CHA No. Job No. Job Date Port of Discharge Total Package Gross Weight (Kg) FOB(INR) Total Cess (INR) Drawback STR Total (DBK+STR) CIN NO. CIN DT. Reward Flag_x000a_0514085720  AADCJ6591KCH001  6527804  05 OCT 2017 12:10  AEJEA  73  28000  767266.5  0  0  0  0  N.A.  N.A.  Click here to view item wise reward details "/>
    <s v="Current Que LEO Date EP Copy Print Status DBK Scroll No Scroll Date EGM Integration Status_x000a_HIST  07 OCT 2017 00:10  Y  N.A.  N.A.  Y "/>
    <s v="EGM No. EGM Date Container No. Seal No. Error Message_x000a_R417321210  2017-10-12 0.0.0.0  GATU8593405  406813  N.A. "/>
    <s v="ROSL Availed Amount(INR) Scroll Number Scroll Date_x000a_NULL  NULL  NULL  NULL "/>
    <x v="200"/>
    <s v="AWB No. Gateway Port Gateway EGM No. Gateway EGM Date Gateway Site ID Error Code_x000a_N.A.  INNSA1  136252  2017-10-04 00:00:00.0  INNSA1  S "/>
    <x v="1"/>
    <x v="0"/>
  </r>
  <r>
    <x v="0"/>
    <n v="9089004"/>
    <s v="2017/10/05"/>
    <s v="IEC CHA No. Job No. Job Date Port of Discharge Total Package Gross Weight (Kg) FOB(INR) Total Cess (INR) Drawback STR Total (DBK+STR) CIN NO. CIN DT. Reward Flag_x000a_0514067969  AHVPD5199DCH001  6530682  05 OCT 2017 12:10  PKKHI  20  490  658658  0  762  0  762  N.A.  N.A.  Click here to view item wise reward details "/>
    <s v="Current Que LEO Date EP Copy Print Status DBK Scroll No Scroll Date EGM Integration Status_x000a_HIST  10 OCT 2017 00:10  Y  22374/2017  31 OCT 2017 00:10  Y "/>
    <s v="EGM No. EGM Date Container No. Seal No. Error Message_x000a_T977721510  2017-10-15 0.0.0.0  PCIU8176974  406590  N.A. "/>
    <s v="ROSL Availed Amount(INR) Scroll Number Scroll Date_x000a_N  0  ROSL NOT CLAIMED  ROSL NOT CLAIMED "/>
    <x v="201"/>
    <s v="AWB No. Gateway Port Gateway EGM No. Gateway EGM Date Gateway Site ID Error Code_x000a_N.A.  INNSA1  137096  2017-10-17 00:00:00.0  INNSA1  C "/>
    <x v="0"/>
    <x v="64"/>
  </r>
  <r>
    <x v="0"/>
    <n v="9093386"/>
    <s v="2017/10/05"/>
    <s v="IEC CHA No. Job No. Job Date Port of Discharge Total Package Gross Weight (Kg) FOB(INR) Total Cess (INR) Drawback STR Total (DBK+STR) CIN NO. CIN DT. Reward Flag_x000a_0516502123  AAUPY4535CCH001  6535528  05 OCT 2017 12:10  TNRDS  2  4000  955500  0  19110  0  19110  N.A.  N.A.  Click here to view item wise reward details "/>
    <s v="Current Que LEO Date EP Copy Print Status DBK Scroll No Scroll Date EGM Integration Status_x000a_HIST  07 OCT 2017 00:10  Y  22374/2017  31 OCT 2017 00:10  Y "/>
    <s v="EGM No. EGM Date Container No. Seal No. Error Message_x000a_R977361210  2017-10-12 0.0.0.0  APZU2129906  406657  N.A. "/>
    <s v="ROSL Availed Amount(INR) Scroll Number Scroll Date_x000a_N  0  ROSL NOT CLAIMED  ROSL NOT CLAIMED "/>
    <x v="202"/>
    <s v="AWB No. Gateway Port Gateway EGM No. Gateway EGM Date Gateway Site ID Error Code_x000a_N.A.  INMUN1  140361  2017-12-08 00:00:00.0  INMUN1  S "/>
    <x v="0"/>
    <x v="0"/>
  </r>
  <r>
    <x v="0"/>
    <n v="9096262"/>
    <s v="2017/10/05"/>
    <s v="IEC CHA No. Job No. Job Date Port of Discharge Total Package Gross Weight (Kg) FOB(INR) Total Cess (INR) Drawback STR Total (DBK+STR) CIN NO. CIN DT. Reward Flag_x000a_0588128180  ARPPK3328RCH001  6538656  05 OCT 2017 12:10  KMLOG  535  16365  3231761.5  0  31879  0  31879  N.A.  N.A.  Click here to view item wise reward details "/>
    <s v="Current Que LEO Date EP Copy Print Status DBK Scroll No Scroll Date EGM Integration Status_x000a_HIST  06 OCT 2017 00:10  Y  22260/2017  24 OCT 2017 00:10  Y "/>
    <s v="EGM No. EGM Date Container No. Seal No. Error Message_x000a_R587241110  2017-10-11 0.0.0.0  GLDU5661534  406447  N.A. "/>
    <s v="ROSL Availed Amount(INR) Scroll Number Scroll Date_x000a_N  0  ROSL NOT CLAIMED  ROSL NOT CLAIMED "/>
    <x v="203"/>
    <s v="AWB No. Gateway Port Gateway EGM No. Gateway EGM Date Gateway Site ID Error Code_x000a_N.A.  INMUN1  136910  2017-10-13 00:00:00.0  INMUN1  S "/>
    <x v="0"/>
    <x v="0"/>
  </r>
  <r>
    <x v="0"/>
    <n v="9098433"/>
    <s v="2017/10/05"/>
    <s v="IEC CHA No. Job No. Job Date Port of Discharge Total Package Gross Weight (Kg) FOB(INR) Total Cess (INR) Drawback STR Total (DBK+STR) CIN NO. CIN DT. Reward Flag_x000a_0501061428  AHVPD5199DCH001  6541004  05 OCT 2017 12:10  MVMLE  1  104  308180.6  0  3082  0  3082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CAIU7480618  407224  N.A. "/>
    <s v="ROSL Availed Amount(INR) Scroll Number Scroll Date_x000a_N  0  ROSL NOT CLAIMED  ROSL NOT CLAIMED "/>
    <x v="204"/>
    <s v="AWB No. Gateway Port Gateway EGM No. Gateway EGM Date Gateway Site ID Error Code_x000a_N.A.  INNSA1  135895  2017-09-27 00:00:00.0  INNSA1  S "/>
    <x v="0"/>
    <x v="65"/>
  </r>
  <r>
    <x v="0"/>
    <n v="9122323"/>
    <s v="2017/10/06"/>
    <s v="IEC CHA No. Job No. Job Date Port of Discharge Total Package Gross Weight (Kg) FOB(INR) Total Cess (INR) Drawback STR Total (DBK+STR) CIN NO. CIN DT. Reward Flag_x000a_0507023722  AANPA2304GCH001  6566885  06 OCT 2017 12:10  LKCMB  40  1010  273918  0  0  0  0  N.A.  N.A.  Click here to view item wise reward details "/>
    <s v="Current Que LEO Date EP Copy Print Status DBK Scroll No Scroll Date EGM Integration Status_x000a_HIST  07 OCT 2017 00:10  Y  N.A.  N.A.  Y "/>
    <s v="EGM No. EGM Date Container No. Seal No. Error Message_x000a_R867621410  2017-10-14 0.0.0.0  CAIU7480618  407224  N.A. "/>
    <s v="ROSL Availed Amount(INR) Scroll Number Scroll Date_x000a_NULL  NULL  NULL  NULL "/>
    <x v="205"/>
    <s v="AWB No. Gateway Port Gateway EGM No. Gateway EGM Date Gateway Site ID Error Code_x000a_N.A.  INNSA1  135895  2017-09-27 00:00:00.0  INNSA1  S "/>
    <x v="1"/>
    <x v="66"/>
  </r>
  <r>
    <x v="0"/>
    <n v="9131041"/>
    <s v="2017/10/06"/>
    <s v="IEC CHA No. Job No. Job Date Port of Discharge Total Package Gross Weight (Kg) FOB(INR) Total Cess (INR) Drawback STR Total (DBK+STR) CIN NO. CIN DT. Reward Flag_x000a_0500003491  BEEPS0785MCH001  6576288  06 OCT 2017 12:10  GBLON  34  686  327930  0  0  0  0  N.A.  N.A.  Click here to view item wise reward details "/>
    <s v="Current Que LEO Date EP Copy Print Status DBK Scroll No Scroll Date EGM Integration Status_x000a_HIST  12 OCT 2017 00:10  Y  N.A.  N.A.  Y "/>
    <s v="EGM No. EGM Date Container No. Seal No. Error Message_x000a_R157782210  2017-10-22 0.0.0.0  MRKU5061888  407765  N.A. "/>
    <s v="ROSL Availed Amount(INR) Scroll Number Scroll Date_x000a_NULL  NULL  NULL  NULL "/>
    <x v="206"/>
    <s v="AWB No. Gateway Port Gateway EGM No. Gateway EGM Date Gateway Site ID Error Code_x000a_N.A.  INMUN1  138865  2017-11-15 00:00:00.0  INMUN1  S "/>
    <x v="1"/>
    <x v="66"/>
  </r>
  <r>
    <x v="0"/>
    <n v="9136843"/>
    <s v="2017/10/07"/>
    <s v="IEC CHA No. Job No. Job Date Port of Discharge Total Package Gross Weight (Kg) FOB(INR) Total Cess (INR) Drawback STR Total (DBK+STR) CIN NO. CIN DT. Reward Flag_x000a_0314004173  AEKPR9484FCH001  6582548  07 OCT 2017 12:10  LKCMB  2  2131  192900  0  2122  0  2122  N.A.  N.A.  Click here to view item wise reward details "/>
    <s v="Current Que LEO Date EP Copy Print Status DBK Scroll No Scroll Date EGM Integration Status_x000a_HIST  11 OCT 2017 00:10  Y  22374/2017  31 OCT 2017 00:10  Y "/>
    <s v="EGM No. EGM Date Container No. Seal No. Error Message_x000a_R957461310  2017-10-13 0.0.0.0  AMFU8533571  407208  N.A. "/>
    <s v="ROSL Availed Amount(INR) Scroll Number Scroll Date_x000a_N  0  ROSL NOT CLAIMED  ROSL NOT CLAIMED "/>
    <x v="207"/>
    <s v="AWB No. Gateway Port Gateway EGM No. Gateway EGM Date Gateway Site ID Error Code_x000a_N.A.  INNSA1  137147  2017-10-18 00:00:00.0  INNSA1  S "/>
    <x v="0"/>
    <x v="0"/>
  </r>
  <r>
    <x v="0"/>
    <n v="9137886"/>
    <s v="2017/10/07"/>
    <s v="IEC CHA No. Job No. Job Date Port of Discharge Total Package Gross Weight (Kg) FOB(INR) Total Cess (INR) Drawback STR Total (DBK+STR) CIN NO. CIN DT. Reward Flag_x000a_0509025765  AACCA2655GCH002  6583650  07 OCT 2017 12:10  MUPLU  4  522.99  214888  0  0  0  0  N.A.  N.A.  Click here to view item wise reward details "/>
    <s v="Current Que LEO Date EP Copy Print Status DBK Scroll No Scroll Date EGM Integration Status_x000a_HIST  09 OCT 2017 00:10  Y  N.A.  N.A.  Y "/>
    <s v="EGM No. EGM Date Container No. Seal No. Error Message_x000a_R887682110  2017-10-21 0.0.0.0  GLDU0850350  407702  N.A. "/>
    <s v="ROSL Availed Amount(INR) Scroll Number Scroll Date_x000a_NULL  NULL  NULL  NULL "/>
    <x v="208"/>
    <s v="AWB No. Gateway Port Gateway EGM No. Gateway EGM Date Gateway Site ID Error Code_x000a_N.A.  INNSA1  136648  2017-10-10 00:00:00.0  INNSA1  C "/>
    <x v="1"/>
    <x v="0"/>
  </r>
  <r>
    <x v="0"/>
    <n v="9150741"/>
    <s v="2017/10/07"/>
    <s v="IEC CHA No. Job No. Job Date Port of Discharge Total Package Gross Weight (Kg) FOB(INR) Total Cess (INR) Drawback STR Total (DBK+STR) CIN NO. CIN DT. Reward Flag_x000a_0505007592  AEOPA9390KCH001  6597444  07 OCT 2017 12:10  AEDXB  7  3680  2039403.1  0  40788  0  40788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TCNU8961632  406571  N.A. "/>
    <s v="ROSL Availed Amount(INR) Scroll Number Scroll Date_x000a_N  0  ROSL NOT CLAIMED  ROSL NOT CLAIMED "/>
    <x v="209"/>
    <s v="AWB No. Gateway Port Gateway EGM No. Gateway EGM Date Gateway Site ID Error Code_x000a_N.A.  INNSA1  136123  2017-10-02 00:00:00.0  INNSA1  S "/>
    <x v="0"/>
    <x v="0"/>
  </r>
  <r>
    <x v="0"/>
    <n v="9161051"/>
    <s v="2017/10/09"/>
    <s v="IEC CHA No. Job No. Job Date Port of Discharge Total Package Gross Weight (Kg) FOB(INR) Total Cess (INR) Drawback STR Total (DBK+STR) CIN NO. CIN DT. Reward Flag_x000a_0511034661  AABCC8115GCH002  6608520  09 OCT 2017 12:10  AEJEA  41  495  838767.78  0  0  0  0  N.A.  N.A.  Click here to view item wise reward details "/>
    <s v="Current Que LEO Date EP Copy Print Status DBK Scroll No Scroll Date EGM Integration Status_x000a_HIST  10 OCT 2017 00:10  Y  N.A.  N.A.  Y "/>
    <s v="EGM No. EGM Date Container No. Seal No. Error Message_x000a_R867621410  2017-10-14 0.0.0.0  BAXU5056052  407207  N.A. "/>
    <s v="ROSL Availed Amount(INR) Scroll Number Scroll Date_x000a_NULL  NULL  NULL  NULL "/>
    <x v="210"/>
    <s v="AWB No. Gateway Port Gateway EGM No. Gateway EGM Date Gateway Site ID Error Code_x000a_N.A.  INNSA1  136151  2017-10-03 00:00:00.0  INNSA1  S "/>
    <x v="1"/>
    <x v="0"/>
  </r>
  <r>
    <x v="0"/>
    <n v="9203657"/>
    <s v="2017/10/10"/>
    <s v="IEC CHA No. Job No. Job Date Port of Discharge Total Package Gross Weight (Kg) FOB(INR) Total Cess (INR) Drawback STR Total (DBK+STR) CIN NO. CIN DT. Reward Flag_x000a_0510012680  AAACE2762JCH001  6654204  10 OCT 2017 12:10  GYGEO  5  88.6  39224.93  0  0  0  0  N.A.  N.A.  Click here to view item wise reward details "/>
    <s v="Current Que LEO Date EP Copy Print Status DBK Scroll No Scroll Date EGM Integration Status_x000a_HIST  16 OCT 2017 00:10  Y  N.A.  N.A.  Y "/>
    <s v="EGM No. EGM Date Container No. Seal No. Error Message_x000a_T907562710  2017-10-27 0.0.0.0  TCNU6623955  408335  N.A. "/>
    <s v="ROSL Availed Amount(INR) Scroll Number Scroll Date_x000a_NULL  NULL  NULL  NULL "/>
    <x v="211"/>
    <s v="AWB No. Gateway Port Gateway EGM No. Gateway EGM Date Gateway Site ID Error Code_x000a_N.A.  INNSA1  136204  2017-10-03 00:00:00.0  INNSA1  S "/>
    <x v="1"/>
    <x v="0"/>
  </r>
  <r>
    <x v="0"/>
    <n v="9212445"/>
    <s v="2017/10/11"/>
    <s v="IEC CHA No. Job No. Job Date Port of Discharge Total Package Gross Weight (Kg) FOB(INR) Total Cess (INR) Drawback STR Total (DBK+STR) CIN NO. CIN DT. Reward Flag_x000a_0512084262  AOWPS6493KCH001  6663590  11 OCT 2017 12:10  THBKK  1  405.74  120806.84  0  2416  0  2416  N.A.  N.A.  Click here to view item wise reward details "/>
    <s v="Current Que LEO Date EP Copy Print Status DBK Scroll No Scroll Date EGM Integration Status_x000a_HIST  12 OCT 2017 00:10  Y  22374/2017  31 OCT 2017 00:10  Y "/>
    <s v="EGM No. EGM Date Container No. Seal No. Error Message_x000a_R687802210  2017-10-22 0.0.0.0  VSTU9000208  407755  N.A. "/>
    <s v="ROSL Availed Amount(INR) Scroll Number Scroll Date_x000a_N  0  ROSL NOT CLAIMED  ROSL NOT CLAIMED "/>
    <x v="212"/>
    <s v="AWB No. Gateway Port Gateway EGM No. Gateway EGM Date Gateway Site ID Error Code_x000a_N.A.  INNSA1  136637  2017-10-10 00:00:00.0  INNSA1  C "/>
    <x v="0"/>
    <x v="67"/>
  </r>
  <r>
    <x v="0"/>
    <n v="9225719"/>
    <s v="2017/10/11"/>
    <s v="IEC CHA No. Job No. Job Date Port of Discharge Total Package Gross Weight (Kg) FOB(INR) Total Cess (INR) Drawback STR Total (DBK+STR) CIN NO. CIN DT. Reward Flag_x000a_0591032163  AAGCS0053ECH003  6677704  11 OCT 2017 12:10  AEJEA  273  4703  670330.07  0  10055  0  10055  N.A.  N.A.  Click here to view item wise reward details "/>
    <s v="Current Que LEO Date EP Copy Print Status DBK Scroll No Scroll Date EGM Integration Status_x000a_HIST  13 OCT 2017 00:10  Y  22374/2017  31 OCT 2017 00:10  Y "/>
    <s v="EGM No. EGM Date Container No. Seal No. Error Message_x000a_R867621410  2017-10-14 0.0.0.0  RFSU2005740  407192  N.A. "/>
    <s v="ROSL Availed Amount(INR) Scroll Number Scroll Date_x000a_N  0  ROSL NOT CLAIMED  ROSL NOT CLAIMED "/>
    <x v="213"/>
    <s v="AWB No. Gateway Port Gateway EGM No. Gateway EGM Date Gateway Site ID Error Code_x000a_N.A.  INNSA1  N.A.  N.A.  N.A.  N.A. "/>
    <x v="0"/>
    <x v="0"/>
  </r>
  <r>
    <x v="0"/>
    <n v="9226280"/>
    <s v="2017/10/11"/>
    <s v="IEC CHA No. Job No. Job Date Port of Discharge Total Package Gross Weight (Kg) FOB(INR) Total Cess (INR) Drawback STR Total (DBK+STR) CIN NO. CIN DT. Reward Flag_x000a_0592023052  AASPK9028QCH001  6678324  11 OCT 2017 12:10  THLCH  12  6528  699856.63  0  13997  0  13997  N.A.  N.A.  Click here to view item wise reward details "/>
    <s v="Current Que LEO Date EP Copy Print Status DBK Scroll No Scroll Date EGM Integration Status_x000a_HIST  13 OCT 2017 00:10  Y  22528/2017  10 NOV 2017 00:11  Y "/>
    <s v="EGM No. EGM Date Container No. Seal No. Error Message_x000a_R917360111  2017-11-1 0.0.0.0  CAXU9973575  408924  N.A. "/>
    <s v="ROSL Availed Amount(INR) Scroll Number Scroll Date_x000a_N  0  ROSL NOT CLAIMED  ROSL NOT CLAIMED "/>
    <x v="214"/>
    <s v="AWB No. Gateway Port Gateway EGM No. Gateway EGM Date Gateway Site ID Error Code_x000a_N.A.  INNSA1  138138  2017-11-03 00:00:00.0  INNSA1  C "/>
    <x v="0"/>
    <x v="0"/>
  </r>
  <r>
    <x v="0"/>
    <n v="9234919"/>
    <s v="2017/10/12"/>
    <s v="IEC CHA No. Job No. Job Date Port of Discharge Total Package Gross Weight (Kg) FOB(INR) Total Cess (INR) Drawback STR Total (DBK+STR) CIN NO. CIN DT. Reward Flag_x000a_0511026242  AABCC8115GCH002  6687552  12 OCT 2017 12:10  LKCMB  10  262  321500  0  3215  0  3215  N.A.  N.A.  Click here to view item wise reward details "/>
    <s v="Current Que LEO Date EP Copy Print Status DBK Scroll No Scroll Date EGM Integration Status_x000a_HIST  16 OCT 2017 00:10  Y  22374/2017  31 OCT 2017 00:10  Y "/>
    <s v="EGM No. EGM Date Container No. Seal No. Error Message_x000a_J207942310  2017-10-23 0.0.0.0  DFSU6802732  407794  N.A. "/>
    <s v="ROSL Availed Amount(INR) Scroll Number Scroll Date_x000a_N  0  ROSL NOT CLAIMED  ROSL NOT CLAIMED "/>
    <x v="215"/>
    <s v="AWB No. Gateway Port Gateway EGM No. Gateway EGM Date Gateway Site ID Error Code_x000a_N.A.  INNSA1  136898  2017-10-13 00:00:00.0  INNSA1  S "/>
    <x v="0"/>
    <x v="0"/>
  </r>
  <r>
    <x v="0"/>
    <n v="9246037"/>
    <s v="2017/10/12"/>
    <s v="IEC CHA No. Job No. Job Date Port of Discharge Total Package Gross Weight (Kg) FOB(INR) Total Cess (INR) Drawback STR Total (DBK+STR) CIN NO. CIN DT. Reward Flag_x000a_0505000873  AOWPS6493KCH001  6699454  12 OCT 2017 12:10  MYPKG  5  3692  903209.24  0  18064  0  18064  N.A.  N.A.  Click here to view item wise reward details "/>
    <s v="Current Que LEO Date EP Copy Print Status DBK Scroll No Scroll Date EGM Integration Status_x000a_HIST  17 OCT 2017 00:10  Y  22374/2017  31 OCT 2017 00:10  Y "/>
    <s v="EGM No. EGM Date Container No. Seal No. Error Message_x000a_R157782210  2017-10-22 0.0.0.0  NYKU4430478  407751  N.A. "/>
    <s v="ROSL Availed Amount(INR) Scroll Number Scroll Date_x000a_N  0  ROSL NOT CLAIMED  ROSL NOT CLAIMED "/>
    <x v="216"/>
    <s v="AWB No. Gateway Port Gateway EGM No. Gateway EGM Date Gateway Site ID Error Code_x000a_N.A.  INPAV1  137330  2017-10-23 00:00:00.0  INPAV1  S "/>
    <x v="0"/>
    <x v="68"/>
  </r>
  <r>
    <x v="0"/>
    <n v="9312599"/>
    <s v="2017/10/16"/>
    <s v="IEC CHA No. Job No. Job Date Port of Discharge Total Package Gross Weight (Kg) FOB(INR) Total Cess (INR) Drawback STR Total (DBK+STR) CIN NO. CIN DT. Reward Flag_x000a_2189000734  AQBPK4529MCH001  6770438  16 OCT 2017 12:10  CNSHA  8  323  268774  0  0  0  0  N.A.  N.A.  Click here to view item wise reward details "/>
    <s v="Current Que LEO Date EP Copy Print Status DBK Scroll No Scroll Date EGM Integration Status_x000a_HIST  17 OCT 2017 00:10  Y  N.A.  N.A.  Y "/>
    <s v="EGM No. EGM Date Container No. Seal No. Error Message_x000a_R687802210  2017-10-22 0.0.0.0  HDMU2678133  40779  N.A. "/>
    <s v="ROSL Availed Amount(INR) Scroll Number Scroll Date_x000a_NULL  NULL  NULL  NULL "/>
    <x v="217"/>
    <s v="AWB No. Gateway Port Gateway EGM No. Gateway EGM Date Gateway Site ID Error Code_x000a_N.A.  INNSA1  N.A.  N.A.  N.A.  N.A. "/>
    <x v="1"/>
    <x v="0"/>
  </r>
  <r>
    <x v="0"/>
    <n v="9323426"/>
    <s v="2017/10/16"/>
    <s v="IEC CHA No. Job No. Job Date Port of Discharge Total Package Gross Weight (Kg) FOB(INR) Total Cess (INR) Drawback STR Total (DBK+STR) CIN NO. CIN DT. Reward Flag_x000a_3104003254  AAACA3307KCH003  6781876  16 OCT 2017 12:10  USSTL  2  200  251306.1  0  5026  0  5026  N.A.  N.A.  Click here to view item wise reward details "/>
    <s v="Current Que LEO Date EP Copy Print Status DBK Scroll No Scroll Date EGM Integration Status_x000a_HIST  30 OCT 2017 00:10  Y  22528/2017  10 NOV 2017 00:11  Y "/>
    <s v="EGM No. EGM Date Container No. Seal No. Error Message_x000a_T937660411  2017-11-4 0.0.0.0  SEGU4994420  408956  N.A. "/>
    <s v="ROSL Availed Amount(INR) Scroll Number Scroll Date_x000a_N  0  ROSL NOT CLAIMED  ROSL NOT CLAIMED "/>
    <x v="218"/>
    <s v="AWB No. Gateway Port Gateway EGM No. Gateway EGM Date Gateway Site ID Error Code_x000a_N.A.  INMUN1  137020  2017-10-16 00:00:00.0  INMUN1  S "/>
    <x v="0"/>
    <x v="69"/>
  </r>
  <r>
    <x v="0"/>
    <n v="9330767"/>
    <s v="2017/10/16"/>
    <s v="IEC CHA No. Job No. Job Date Port of Discharge Total Package Gross Weight (Kg) FOB(INR) Total Cess (INR) Drawback STR Total (DBK+STR) CIN NO. CIN DT. Reward Flag_x000a_0503014761  AAGFT5049NCH001  6789639  16 OCT 2017 12:10  LKCMB  74  1644.82  297663.54  0  0  0  0  N.A.  N.A.  Click here to view item wise reward details "/>
    <s v="Current Que LEO Date EP Copy Print Status DBK Scroll No Scroll Date EGM Integration Status_x000a_HIST  18 OCT 2017 00:10  Y  N.A.  N.A.  Y "/>
    <s v="EGM No. EGM Date Container No. Seal No. Error Message_x000a_T427042410  2017-10-24 0.0.0.0  TTNU9450840  407792  N.A. "/>
    <s v="ROSL Availed Amount(INR) Scroll Number Scroll Date_x000a_NULL  NULL  NULL  NULL "/>
    <x v="219"/>
    <s v="AWB No. Gateway Port Gateway EGM No. Gateway EGM Date Gateway Site ID Error Code_x000a_N.A.  INNSA1  136204  2017-10-03 00:00:00.0  INNSA1  S "/>
    <x v="1"/>
    <x v="0"/>
  </r>
  <r>
    <x v="0"/>
    <n v="9344909"/>
    <s v="2017/10/17"/>
    <s v="IEC CHA No. Job No. Job Date Port of Discharge Total Package Gross Weight (Kg) FOB(INR) Total Cess (INR) Drawback STR Total (DBK+STR) CIN NO. CIN DT. Reward Flag_x000a_0302060855  AMJPS3049QCH001  6804691  17 OCT 2017 12:10  FRLEH  28  234.22  158602.8  0  0  0  0  N.A.  N.A.  Click here to view item wise reward details "/>
    <s v="Current Que LEO Date EP Copy Print Status DBK Scroll No Scroll Date EGM Integration Status_x000a_HIST  17 OCT 2017 00:10  Y  N.A.  N.A.  Y "/>
    <s v="EGM No. EGM Date Container No. Seal No. Error Message_x000a_T887462710  2017-10-27 0.0.0.0  SUDU1349505  408331  N.A. "/>
    <s v="ROSL Availed Amount(INR) Scroll Number Scroll Date_x000a_NULL  NULL  NULL  NULL "/>
    <x v="220"/>
    <s v="AWB No. Gateway Port Gateway EGM No. Gateway EGM Date Gateway Site ID Error Code_x000a_N.A.  INMUN1  137857  2017-10-30 00:00:00.0  INMUN1  S "/>
    <x v="1"/>
    <x v="70"/>
  </r>
  <r>
    <x v="0"/>
    <n v="9346238"/>
    <s v="2017/10/17"/>
    <s v="IEC CHA No. Job No. Job Date Port of Discharge Total Package Gross Weight (Kg) FOB(INR) Total Cess (INR) Drawback STR Total (DBK+STR) CIN NO. CIN DT. Reward Flag_x000a_0594000319  AABCH1588ECH001  6806102  17 OCT 2017 12:10  USNYC  54  867.75  1233338.3  0  0  0  0  N.A.  N.A.  Click here to view item wise reward details "/>
    <s v="Current Que LEO Date EP Copy Print Status DBK Scroll No Scroll Date EGM Integration Status_x000a_HIST  24 OCT 2017 00:10  Y  N.A.  N.A.  Y "/>
    <s v="EGM No. EGM Date Container No. Seal No. Error Message_x000a_R437682810  2017-10-28 0.0.0.0  FCIU9221260  408359  N.A. "/>
    <s v="ROSL Availed Amount(INR) Scroll Number Scroll Date_x000a_NULL  NULL  NULL  NULL "/>
    <x v="221"/>
    <s v="AWB No. Gateway Port Gateway EGM No. Gateway EGM Date Gateway Site ID Error Code_x000a_N.A.  INNSA1  136639  2017-10-10 00:00:00.0  INNSA1  S "/>
    <x v="1"/>
    <x v="71"/>
  </r>
  <r>
    <x v="0"/>
    <n v="9353344"/>
    <s v="2017/10/17"/>
    <s v="IEC CHA No. Job No. Job Date Port of Discharge Total Package Gross Weight (Kg) FOB(INR) Total Cess (INR) Drawback STR Total (DBK+STR) CIN NO. CIN DT. Reward Flag_x000a_0500054339  AANPG2940CCH001  6813655  17 OCT 2017 12:10  AEJEA  18  800  346705.6  0  0  0  0  N.A.  N.A.  Click here to view item wise reward details "/>
    <s v="Current Que LEO Date EP Copy Print Status DBK Scroll No Scroll Date EGM Integration Status_x000a_HIST  18 OCT 2017 00:10  Y  N.A.  N.A.  Y "/>
    <s v="EGM No. EGM Date Container No. Seal No. Error Message_x000a_R617602810  2017-10-28 0.0.0.0  TTNU9813289  408340  N.A. "/>
    <s v="ROSL Availed Amount(INR) Scroll Number Scroll Date_x000a_NULL  NULL  NULL  NULL "/>
    <x v="222"/>
    <s v="AWB No. Gateway Port Gateway EGM No. Gateway EGM Date Gateway Site ID Error Code_x000a_N.A.  INMUN1  137573  2017-10-25 00:00:00.0  INMUN1  S "/>
    <x v="1"/>
    <x v="0"/>
  </r>
  <r>
    <x v="0"/>
    <n v="9361492"/>
    <s v="2017/10/17"/>
    <s v="IEC CHA No. Job No. Job Date Port of Discharge Total Package Gross Weight (Kg) FOB(INR) Total Cess (INR) Drawback STR Total (DBK+STR) CIN NO. CIN DT. Reward Flag_x000a_0501009990  ADGPM5173KCH001  6822335  17 OCT 2017 12:10  LKCMB  2  620.06  194300.45  0  0  0  0  N.A.  N.A.  Click here to view item wise reward details "/>
    <s v="Current Que LEO Date EP Copy Print Status DBK Scroll No Scroll Date EGM Integration Status_x000a_HIST  20 OCT 2017 00:10  Y  N.A.  N.A.  Y "/>
    <s v="EGM No. EGM Date Container No. Seal No. Error Message_x000a_J207942310  2017-10-23 0.0.0.0  DFSU6802732  407794  N.A. "/>
    <s v="ROSL Availed Amount(INR) Scroll Number Scroll Date_x000a_NULL  NULL  NULL  NULL "/>
    <x v="223"/>
    <s v="AWB No. Gateway Port Gateway EGM No. Gateway EGM Date Gateway Site ID Error Code_x000a_N.A.  INNSA1  N.A.  N.A.  N.A.  N.A. "/>
    <x v="1"/>
    <x v="72"/>
  </r>
  <r>
    <x v="0"/>
    <n v="9425848"/>
    <s v="2017/10/23"/>
    <s v="IEC CHA No. Job No. Job Date Port of Discharge Total Package Gross Weight (Kg) FOB(INR) Total Cess (INR) Drawback STR Total (DBK+STR) CIN NO. CIN DT. Reward Flag_x000a_0500075158  ADXPJ1610RCH001  6891009  23 OCT 2017 12:10  USBOS  16  203  299259.75  0  4589  0  4589  N.A.  N.A.  Click here to view item wise reward details "/>
    <s v="Current Que LEO Date EP Copy Print Status DBK Scroll No Scroll Date EGM Integration Status_x000a_HIST  23 OCT 2017 00:10  Y  24432/2018  25 MAR 2018 00:03  Y "/>
    <s v="EGM No. EGM Date Container No. Seal No. Error Message_x000a_T567242510  2017-10-25 0.0.0.0  DRYU9359519  408313  N.A. "/>
    <s v="ROSL Availed Amount(INR) Scroll Number Scroll Date_x000a_Y  4788  25934/2018  2018-3-20 0.0.0.0 "/>
    <x v="224"/>
    <s v="AWB No. Gateway Port Gateway EGM No. Gateway EGM Date Gateway Site ID Error Code_x000a_N.A.  INMUN1  N.A.  N.A.  N.A.  N.A. "/>
    <x v="2"/>
    <x v="0"/>
  </r>
  <r>
    <x v="0"/>
    <n v="9474719"/>
    <s v="2017/10/25"/>
    <s v="IEC CHA No. Job No. Job Date Port of Discharge Total Package Gross Weight (Kg) FOB(INR) Total Cess (INR) Drawback STR Total (DBK+STR) CIN NO. CIN DT. Reward Flag_x000a_0512076341  AAJCA1821BCH001  6942905  25 OCT 2017 12:10  CUMZO  2  6000  4858347.55  0  97167  0  97167  N.A.  N.A.  Click here to view item wise reward details "/>
    <s v="Current Que LEO Date EP Copy Print Status DBK Scroll No Scroll Date EGM Integration Status_x000a_HIST  26 OCT 2017 00:10  Y  22528/2017  10 NOV 2017 00:11  Y "/>
    <s v="EGM No. EGM Date Container No. Seal No. Error Message_x000a_R867722910  2017-10-29 0.0.0.0  TGHU0568934  408516  N.A. "/>
    <s v="ROSL Availed Amount(INR) Scroll Number Scroll Date_x000a_N  0  ROSL NOT CLAIMED  ROSL NOT CLAIMED "/>
    <x v="225"/>
    <s v="AWB No. Gateway Port Gateway EGM No. Gateway EGM Date Gateway Site ID Error Code_x000a_N.A.  INMUN1  137953  2017-11-01 00:00:00.0  INMUN1  S "/>
    <x v="0"/>
    <x v="0"/>
  </r>
  <r>
    <x v="0"/>
    <n v="9492580"/>
    <s v="2017/10/26"/>
    <s v="IEC CHA No. Job No. Job Date Port of Discharge Total Package Gross Weight (Kg) FOB(INR) Total Cess (INR) Drawback STR Total (DBK+STR) CIN NO. CIN DT. Reward Flag_x000a_0510085423  AABCI7233BCH010  6961872  26 OCT 2017 12:10  LKCMB  6  38.4  32716.5  0  658  0  658  N.A.  N.A.  Click here to view item wise reward details "/>
    <s v="Current Que LEO Date EP Copy Print Status DBK Scroll No Scroll Date EGM Integration Status_x000a_HIST  28 OCT 2017 00:10  Y  22528/2017  10 NOV 2017 00:11  Y "/>
    <s v="EGM No. EGM Date Container No. Seal No. Error Message_x000a_R597123010  2017-10-30 0.0.0.0  ZCSU2655603  408394  N.A. "/>
    <s v="ROSL Availed Amount(INR) Scroll Number Scroll Date_x000a_N  0  ROSL NOT CLAIMED  ROSL NOT CLAIMED "/>
    <x v="226"/>
    <s v="AWB No. Gateway Port Gateway EGM No. Gateway EGM Date Gateway Site ID Error Code_x000a_N.A.  INNSA1  137147  2017-10-18 00:00:00.0  INNSA1  C "/>
    <x v="0"/>
    <x v="0"/>
  </r>
  <r>
    <x v="0"/>
    <n v="9510284"/>
    <s v="2017/10/26"/>
    <s v="IEC CHA No. Job No. Job Date Port of Discharge Total Package Gross Weight (Kg) FOB(INR) Total Cess (INR) Drawback STR Total (DBK+STR) CIN NO. CIN DT. Reward Flag_x000a_0504064754  FHMPS1058ECH001  6980662  26 OCT 2017 12:10  LKCMB  2  198  85736.48  0  1715  0  1715  N.A.  N.A.  Click here to view item wise reward details "/>
    <s v="Current Que LEO Date EP Copy Print Status DBK Scroll No Scroll Date EGM Integration Status_x000a_HIST  27 OCT 2017 00:10  Y  22753/2017  24 NOV 2017 00:11  Y "/>
    <s v="EGM No. EGM Date Container No. Seal No. Error Message_x000a_R117101311  2017-11-13 0.0.0.0  GLDU7092036  410152  N.A. "/>
    <s v="ROSL Availed Amount(INR) Scroll Number Scroll Date_x000a_N  0  ROSL NOT CLAIMED  ROSL NOT CLAIMED "/>
    <x v="227"/>
    <s v="AWB No. Gateway Port Gateway EGM No. Gateway EGM Date Gateway Site ID Error Code_x000a_N.A.  INNSA1  138449  2017-11-09 00:00:00.0  INNSA1  S "/>
    <x v="0"/>
    <x v="24"/>
  </r>
  <r>
    <x v="0"/>
    <n v="9522381"/>
    <s v="2017/10/27"/>
    <s v="IEC CHA No. Job No. Job Date Port of Discharge Total Package Gross Weight (Kg) FOB(INR) Total Cess (INR) Drawback STR Total (DBK+STR) CIN NO. CIN DT. Reward Flag_x000a_0507051360  ACOPV0617QCH001  6993498  27 OCT 2017 12:10  JPNGY  4  2620  3403998.88  0  0  0  0  N.A.  N.A.  Click here to view item wise reward details "/>
    <s v="Current Que LEO Date EP Copy Print Status DBK Scroll No Scroll Date EGM Integration Status_x000a_HIST  01 NOV 2017 00:11  Y  N.A.  N.A.  Y "/>
    <s v="EGM No. EGM Date Container No. Seal No. Error Message_x000a_R1237600311  2017-11-3 0.0.0.0  TCLU8954847  409204  N.A. "/>
    <s v="ROSL Availed Amount(INR) Scroll Number Scroll Date_x000a_NULL  NULL  NULL  NULL "/>
    <x v="228"/>
    <s v="AWB No. Gateway Port Gateway EGM No. Gateway EGM Date Gateway Site ID Error Code_x000a_N.A.  INPAV1  138356  2017-11-07 00:00:00.0  INPAV1  S "/>
    <x v="1"/>
    <x v="73"/>
  </r>
  <r>
    <x v="0"/>
    <n v="9531547"/>
    <s v="2017/10/27"/>
    <s v="IEC CHA No. Job No. Job Date Port of Discharge Total Package Gross Weight (Kg) FOB(INR) Total Cess (INR) Drawback STR Total (DBK+STR) CIN NO. CIN DT. Reward Flag_x000a_0500048967  AFXPK5610ECH001  7003225  27 OCT 2017 12:10  NZLYT  26  623.04  243048  0  0  0  0  N.A.  N.A.  Click here to view item wise reward details "/>
    <s v="Current Que LEO Date EP Copy Print Status DBK Scroll No Scroll Date EGM Integration Status_x000a_HIST  30 OCT 2017 00:10  Y  N.A.  N.A.  Y "/>
    <s v="EGM No. EGM Date Container No. Seal No. Error Message_x000a_J237680411  2017-11-4 0.0.0.0  TCLU3101163  408966  N.A. "/>
    <s v="ROSL Availed Amount(INR) Scroll Number Scroll Date_x000a_NULL  NULL  NULL  NULL "/>
    <x v="229"/>
    <s v="AWB No. Gateway Port Gateway EGM No. Gateway EGM Date Gateway Site ID Error Code_x000a_N.A.  INNSA1  137367  2017-10-23 00:00:00.0  INNSA1  S "/>
    <x v="1"/>
    <x v="0"/>
  </r>
  <r>
    <x v="0"/>
    <n v="9535945"/>
    <s v="2017/10/27"/>
    <s v="IEC CHA No. Job No. Job Date Port of Discharge Total Package Gross Weight (Kg) FOB(INR) Total Cess (INR) Drawback STR Total (DBK+STR) CIN NO. CIN DT. Reward Flag_x000a_0592023052  FHMPS1058ECH001  7007875  27 OCT 2017 12:10  MYPKG  1  516.28  190774.4  0  3815  0  3815  N.A.  N.A.  Click here to view item wise reward details "/>
    <s v="Current Que LEO Date EP Copy Print Status DBK Scroll No Scroll Date EGM Integration Status_x000a_HIST  30 OCT 2017 00:10  Y  22528/2017  10 NOV 2017 00:11  Y "/>
    <s v="EGM No. EGM Date Container No. Seal No. Error Message_x000a_J237680411  2017-11-4 0.0.0.0  HNSU2035740  408975  N.A. "/>
    <s v="ROSL Availed Amount(INR) Scroll Number Scroll Date_x000a_N  0  ROSL NOT CLAIMED  ROSL NOT CLAIMED "/>
    <x v="230"/>
    <s v="AWB No. Gateway Port Gateway EGM No. Gateway EGM Date Gateway Site ID Error Code_x000a_N.A.  INNSA1  137969  2017-11-01 00:00:00.0  INNSA1  C "/>
    <x v="0"/>
    <x v="0"/>
  </r>
  <r>
    <x v="0"/>
    <n v="9536682"/>
    <s v="2017/10/27"/>
    <s v="IEC CHA No. Job No. Job Date Port of Discharge Total Package Gross Weight (Kg) FOB(INR) Total Cess (INR) Drawback STR Total (DBK+STR) CIN NO. CIN DT. Reward Flag_x000a_0511002459  AACCJ6018NCH001  7008660  27 OCT 2017 12:10  ZAJNB  2  619.2  275331.8  0  5507  0  5507  N.A.  N.A.  Click here to view item wise reward details "/>
    <s v="Current Que LEO Date EP Copy Print Status DBK Scroll No Scroll Date EGM Integration Status_x000a_HIST  01 NOV 2017 00:11  Y  22753/2017  24 NOV 2017 00:11  Y "/>
    <s v="EGM No. EGM Date Container No. Seal No. Error Message_x000a_T417481011  2017-11-10 0.0.0.0  NYKU3240133  409783  N.A. "/>
    <s v="ROSL Availed Amount(INR) Scroll Number Scroll Date_x000a_N  0  ROSL NOT CLAIMED  ROSL NOT CLAIMED "/>
    <x v="231"/>
    <s v="AWB No. Gateway Port Gateway EGM No. Gateway EGM Date Gateway Site ID Error Code_x000a_N.A.  INNSA1  138138  2017-11-03 00:00:00.0  INNSA1  S "/>
    <x v="0"/>
    <x v="0"/>
  </r>
  <r>
    <x v="0"/>
    <n v="9565498"/>
    <s v="2017/10/30"/>
    <s v="IEC CHA No. Job No. Job Date Port of Discharge Total Package Gross Weight (Kg) FOB(INR) Total Cess (INR) Drawback STR Total (DBK+STR) CIN NO. CIN DT. Reward Flag_x000a_0508028078  AAECB3928MCH001  7039088  30 OCT 2017 12:10  DEHAM  1  465  273728  0  0  0  0  N.A.  N.A.  Click here to view item wise reward details "/>
    <s v="Current Que LEO Date EP Copy Print Status DBK Scroll No Scroll Date EGM Integration Status_x000a_HIST  02 NOV 2017 00:11  Y  N.A.  N.A.  Y "/>
    <s v="EGM No. EGM Date Container No. Seal No. Error Message_x000a_R857060711  2017-11-7 0.0.0.0  BMOU5903388  408984  N.A. "/>
    <s v="ROSL Availed Amount(INR) Scroll Number Scroll Date_x000a_NULL  NULL  NULL  NULL "/>
    <x v="232"/>
    <s v="AWB No. Gateway Port Gateway EGM No. Gateway EGM Date Gateway Site ID Error Code_x000a_N.A.  INNSA1  137453  2017-10-24 00:00:00.0  INNSA1  C "/>
    <x v="1"/>
    <x v="0"/>
  </r>
  <r>
    <x v="0"/>
    <n v="9572277"/>
    <s v="2017/10/30"/>
    <s v="IEC CHA No. Job No. Job Date Port of Discharge Total Package Gross Weight (Kg) FOB(INR) Total Cess (INR) Drawback STR Total (DBK+STR) CIN NO. CIN DT. Reward Flag_x000a_0517542374  AAJPK0196LCH001  7046224  30 OCT 2017 12:10  AEJEA  11  13950  975000  0  19500  0  19500  N.A.  N.A.  Click here to view item wise reward details "/>
    <s v="Current Que LEO Date EP Copy Print Status DBK Scroll No Scroll Date EGM Integration Status_x000a_HIST  09 NOV 2017 00:11  Y  22753/2017  24 NOV 2017 00:11  Y "/>
    <s v="EGM No. EGM Date Container No. Seal No. Error Message_x000a_R1307141411  2017-11-14 0.0.0.0  BSIU9258478  410288  N.A. "/>
    <s v="ROSL Availed Amount(INR) Scroll Number Scroll Date_x000a_N  0  ROSL NOT CLAIMED  ROSL NOT CLAIMED "/>
    <x v="233"/>
    <s v="AWB No. Gateway Port Gateway EGM No. Gateway EGM Date Gateway Site ID Error Code_x000a_N.A.  INMUN1  139244  2017-11-21 00:00:00.0  INMUN1  S "/>
    <x v="0"/>
    <x v="0"/>
  </r>
  <r>
    <x v="0"/>
    <n v="9575454"/>
    <s v="2017/10/30"/>
    <s v="IEC CHA No. Job No. Job Date Port of Discharge Total Package Gross Weight (Kg) FOB(INR) Total Cess (INR) Drawback STR Total (DBK+STR) CIN NO. CIN DT. Reward Flag_x000a_0591028549  AAECB3928MCH001  7049582  30 OCT 2017 12:10  USHOU  1  271.647  255637.75  0  0  0  0  N.A.  N.A.  Click here to view item wise reward details "/>
    <s v="Current Que LEO Date EP Copy Print Status DBK Scroll No Scroll Date EGM Integration Status_x000a_HIST  02 NOV 2017 00:11  Y  N.A.  N.A.  Y "/>
    <s v="EGM No. EGM Date Container No. Seal No. Error Message_x000a_R917281511  2017-11-15 0.0.0.0  MSKU5046484  410116  N.A. "/>
    <s v="ROSL Availed Amount(INR) Scroll Number Scroll Date_x000a_NULL  NULL  NULL  NULL "/>
    <x v="234"/>
    <s v="AWB No. Gateway Port Gateway EGM No. Gateway EGM Date Gateway Site ID Error Code_x000a_N.A.  INNSA1  137348  2017-10-23 00:00:00.0  INNSA1  S "/>
    <x v="1"/>
    <x v="0"/>
  </r>
  <r>
    <x v="0"/>
    <n v="9580505"/>
    <s v="2017/10/30"/>
    <s v="IEC CHA No. Job No. Job Date Port of Discharge Total Package Gross Weight (Kg) FOB(INR) Total Cess (INR) Drawback STR Total (DBK+STR) CIN NO. CIN DT. Reward Flag_x000a_3104003254  AAACA3307KCH003  7054953  30 OCT 2017 12:10  ARBUE  6  888  973732.85  0  19475  0  19475  N.A.  N.A.  Click here to view item wise reward details "/>
    <s v="Current Que LEO Date EP Copy Print Status DBK Scroll No Scroll Date EGM Integration Status_x000a_HIST  10 NOV 2017 00:11  Y  22753/2017  24 NOV 2017 00:11  Y "/>
    <s v="EGM No. EGM Date Container No. Seal No. Error Message_x000a_T897181411  2017-11-14 0.0.0.0  GVCU5235474  410172  N.A. "/>
    <s v="ROSL Availed Amount(INR) Scroll Number Scroll Date_x000a_N  0  ROSL NOT CLAIMED  ROSL NOT CLAIMED "/>
    <x v="235"/>
    <s v="AWB No. Gateway Port Gateway EGM No. Gateway EGM Date Gateway Site ID Error Code_x000a_N.A.  INNSA1  137366  2017-10-23 00:00:00.0  INNSA1  S "/>
    <x v="0"/>
    <x v="0"/>
  </r>
  <r>
    <x v="0"/>
    <n v="9597287"/>
    <s v="2017/10/31"/>
    <s v="IEC CHA No. Job No. Job Date Port of Discharge Total Package Gross Weight (Kg) FOB(INR) Total Cess (INR) Drawback STR Total (DBK+STR) CIN NO. CIN DT. Reward Flag_x000a_0506059944  AGYPS4804QCH001  7072682  31 OCT 2017 12:10  QADOH  374  18737.4  189434.95  0  0  0  0  N.A.  N.A.  Click here to view item wise reward details "/>
    <s v="Current Que LEO Date EP Copy Print Status DBK Scroll No Scroll Date EGM Integration Status_x000a_HIST  02 NOV 2017 00:11  Y  N.A.  N.A.  Y "/>
    <s v="EGM No. EGM Date Container No. Seal No. Error Message_x000a_J237680411  2017-11-4 0.0.0.0  BSIU2923410  409431  N.A. "/>
    <s v="ROSL Availed Amount(INR) Scroll Number Scroll Date_x000a_NULL  NULL  NULL  NULL "/>
    <x v="236"/>
    <s v="AWB No. Gateway Port Gateway EGM No. Gateway EGM Date Gateway Site ID Error Code_x000a_N.A.  INNSA1  137830  2017-10-30 00:00:00.0  INNSA1  S "/>
    <x v="1"/>
    <x v="74"/>
  </r>
  <r>
    <x v="0"/>
    <n v="9603076"/>
    <s v="2017/10/31"/>
    <s v="IEC CHA No. Job No. Job Date Port of Discharge Total Package Gross Weight (Kg) FOB(INR) Total Cess (INR) Drawback STR Total (DBK+STR) CIN NO. CIN DT. Reward Flag_x000a_0597017891  AAZPM1462DCH001  7078745  31 OCT 2017 12:10  ESVLC  50  715.9  176314.99  0  2515  0  2515  N.A.  N.A.  Click here to view item wise reward details "/>
    <s v="Current Que LEO Date EP Copy Print Status DBK Scroll No Scroll Date EGM Integration Status_x000a_HIST  13 NOV 2017 00:11  Y  22753/2017  24 NOV 2017 00:11  Y "/>
    <s v="EGM No. EGM Date Container No. Seal No. Error Message_x000a_T257561711  2017-11-17 0.0.0.0  CCLU3768859  410722  N.A. "/>
    <s v="ROSL Availed Amount(INR) Scroll Number Scroll Date_x000a_N  0  ROSL NOT CLAIMED  ROSL NOT CLAIMED "/>
    <x v="237"/>
    <s v="AWB No. Gateway Port Gateway EGM No. Gateway EGM Date Gateway Site ID Error Code_x000a_N.A.  INNSA1  138455  2017-11-09 00:00:00.0  INNSA1  S "/>
    <x v="0"/>
    <x v="0"/>
  </r>
  <r>
    <x v="0"/>
    <n v="9612572"/>
    <s v="2017/10/31"/>
    <s v="IEC CHA No. Job No. Job Date Port of Discharge Total Package Gross Weight (Kg) FOB(INR) Total Cess (INR) Drawback STR Total (DBK+STR) CIN NO. CIN DT. Reward Flag_x000a_0597017891  AAACT0334RCH001  7088779  31 OCT 2017 12:10  USLAX  58  1299.1  309895.82  0  4926  0  4926  N.A.  N.A.  Click here to view item wise reward details "/>
    <s v="Current Que LEO Date EP Copy Print Status DBK Scroll No Scroll Date EGM Integration Status_x000a_HIST  08 NOV 2017 00:11  Y  22753/2017  24 NOV 2017 00:11  Y "/>
    <s v="EGM No. EGM Date Container No. Seal No. Error Message_x000a_R917281511  2017-11-15 0.0.0.0  CRXU9830141  410173  N.A. "/>
    <s v="ROSL Availed Amount(INR) Scroll Number Scroll Date_x000a_N  0  ROSL NOT CLAIMED  ROSL NOT CLAIMED "/>
    <x v="238"/>
    <s v="AWB No. Gateway Port Gateway EGM No. Gateway EGM Date Gateway Site ID Error Code_x000a_N.A.  INNSA1  138732  2017-11-14 00:00:00.0  INNSA1  S "/>
    <x v="0"/>
    <x v="0"/>
  </r>
  <r>
    <x v="0"/>
    <n v="9626392"/>
    <s v="2017/11/01"/>
    <s v="IEC CHA No. Job No. Job Date Port of Discharge Total Package Gross Weight (Kg) FOB(INR) Total Cess (INR) Drawback STR Total (DBK+STR) CIN NO. CIN DT. Reward Flag_x000a_0504038966  AAACU5306LCH002  7103357  01 NOV 2017 12:11  NLRTM  2  1487  220967.68  0  4419  0  4419  N.A.  N.A.  Click here to view item wise reward details "/>
    <s v="Current Que LEO Date EP Copy Print Status DBK Scroll No Scroll Date EGM Integration Status_x000a_HIST  07 NOV 2017 00:11  Y  22753/2017  24 NOV 2017 00:11  Y "/>
    <s v="EGM No. EGM Date Container No. Seal No. Error Message_x000a_R757340911  2017-11-9 0.0.0.0  CAIU2219324  409773  N.A. "/>
    <s v="ROSL Availed Amount(INR) Scroll Number Scroll Date_x000a_N  0  ROSL NOT CLAIMED  ROSL NOT CLAIMED "/>
    <x v="239"/>
    <s v="AWB No. Gateway Port Gateway EGM No. Gateway EGM Date Gateway Site ID Error Code_x000a_N.A.  INNSA1  137889  2017-10-31 00:00:00.0  INNSA1  S "/>
    <x v="0"/>
    <x v="75"/>
  </r>
  <r>
    <x v="0"/>
    <n v="9653631"/>
    <s v="2017/11/02"/>
    <s v="IEC CHA No. Job No. Job Date Port of Discharge Total Package Gross Weight (Kg) FOB(INR) Total Cess (INR) Drawback STR Total (DBK+STR) CIN NO. CIN DT. Reward Flag_x000a_0511002459  AACCJ6018NCH001  7132173  02 NOV 2017 12:11  AEJEA  1  360.4  95400.03  0  1908  0  1908  N.A.  N.A.  Click here to view item wise reward details "/>
    <s v="Current Que LEO Date EP Copy Print Status DBK Scroll No Scroll Date EGM Integration Status_x000a_HIST  10 NOV 2017 00:11  Y  22850/2017  30 NOV 2017 00:11  Y "/>
    <s v="EGM No. EGM Date Container No. Seal No. Error Message_x000a_R67142711  2017-11-27 0.0.0.0  TRHU3490683  411926  N.A. "/>
    <s v="ROSL Availed Amount(INR) Scroll Number Scroll Date_x000a_N  0  ROSL NOT CLAIMED  ROSL NOT CLAIMED "/>
    <x v="240"/>
    <s v="AWB No. Gateway Port Gateway EGM No. Gateway EGM Date Gateway Site ID Error Code_x000a_N.A.  INNSA1  138837  2017-11-15 00:00:00.0  INNSA1  S "/>
    <x v="0"/>
    <x v="0"/>
  </r>
  <r>
    <x v="0"/>
    <n v="9675183"/>
    <s v="2017/11/03"/>
    <s v="IEC CHA No. Job No. Job Date Port of Discharge Total Package Gross Weight (Kg) FOB(INR) Total Cess (INR) Drawback STR Total (DBK+STR) CIN NO. CIN DT. Reward Flag_x000a_0288014952  AVAPS6694RCH001  7155035  03 NOV 2017 12:11  BDCGP  94  3601  1018340.05  0  19416  0  19416  N.A.  N.A.  Click here to view item wise reward details "/>
    <s v="Current Que LEO Date EP Copy Print Status DBK Scroll No Scroll Date EGM Integration Status_x000a_HIST  06 NOV 2017 00:11  Y  23643/2018  31 JAN 2018 00:01  Y "/>
    <s v="EGM No. EGM Date Container No. Seal No. Error Message_x000a_T957380911  2017-11-9 0.0.0.0  CAIU8861239  409849  N.A. "/>
    <s v="ROSL Availed Amount(INR) Scroll Number Scroll Date_x000a_N  0  ROSL NOT CLAIMED  ROSL NOT CLAIMED "/>
    <x v="241"/>
    <s v="AWB No. Gateway Port Gateway EGM No. Gateway EGM Date Gateway Site ID Error Code_x000a_N.A.  INNSA1  N.A.  N.A.  N.A.  N.A. "/>
    <x v="0"/>
    <x v="0"/>
  </r>
  <r>
    <x v="0"/>
    <n v="9683009"/>
    <s v="2017/11/03"/>
    <s v="IEC CHA No. Job No. Job Date Port of Discharge Total Package Gross Weight (Kg) FOB(INR) Total Cess (INR) Drawback STR Total (DBK+STR) CIN NO. CIN DT. Reward Flag_x000a_3014016713  AAACV8475HCH022  7163347  03 NOV 2017 12:11  NZAKL  79  1076.5  712293.4  0  10684  0  10684  N.A.  N.A.  Click here to view item wise reward details "/>
    <s v="Current Que LEO Date EP Copy Print Status DBK Scroll No Scroll Date EGM Integration Status_x000a_HIST  08 NOV 2017 00:11  Y  22753/2017  24 NOV 2017 00:11  Y "/>
    <s v="EGM No. EGM Date Container No. Seal No. Error Message_x000a_R987721111  2017-11-11 0.0.0.0  HMMU6037769  409797  N.A. "/>
    <s v="ROSL Availed Amount(INR) Scroll Number Scroll Date_x000a_N  0  ROSL NOT CLAIMED  ROSL NOT CLAIMED "/>
    <x v="242"/>
    <s v="AWB No. Gateway Port Gateway EGM No. Gateway EGM Date Gateway Site ID Error Code_x000a_N.A.  INNSA1  138138  2017-11-03 00:00:00.0  INNSA1  S "/>
    <x v="0"/>
    <x v="76"/>
  </r>
  <r>
    <x v="0"/>
    <n v="9683904"/>
    <s v="2017/11/03"/>
    <s v="IEC CHA No. Job No. Job Date Port of Discharge Total Package Gross Weight (Kg) FOB(INR) Total Cess (INR) Drawback STR Total (DBK+STR) CIN NO. CIN DT. Reward Flag_x000a_3303004897  AAKFT7074RCH001  7164309  03 NOV 2017 12:11  IRBND  5  41  128124.91  0  0  0  0  N.A.  N.A.  Click here to view item wise reward details "/>
    <s v="Current Que LEO Date EP Copy Print Status DBK Scroll No Scroll Date EGM Integration Status_x000a_HIST  16 DEC 2017 00:12  Y  N.A.  N.A.  Y "/>
    <s v="EGM No. EGM Date Container No. Seal No. Error Message_x000a_T437622212  2017-12-22 0.0.0.0  TCKU3159445  414297  N.A. "/>
    <s v="ROSL Availed Amount(INR) Scroll Number Scroll Date_x000a_NULL  NULL  NULL  NULL "/>
    <x v="243"/>
    <s v="AWB No. Gateway Port Gateway EGM No. Gateway EGM Date Gateway Site ID Error Code_x000a_N.A.  INMUN1  140630  2017-12-13 00:00:00.0  INMUN1  S "/>
    <x v="1"/>
    <x v="0"/>
  </r>
  <r>
    <x v="0"/>
    <n v="9687200"/>
    <s v="2017/11/03"/>
    <s v="IEC CHA No. Job No. Job Date Port of Discharge Total Package Gross Weight (Kg) FOB(INR) Total Cess (INR) Drawback STR Total (DBK+STR) CIN NO. CIN DT. Reward Flag_x000a_0506074285  AAEPI0406QCH001  7167836  03 NOV 2017 12:11  USNYC  17  222.19  440248.38  0  8805  0  8805  N.A.  N.A.  Click here to view item wise reward details "/>
    <s v="Current Que LEO Date EP Copy Print Status DBK Scroll No Scroll Date EGM Integration Status_x000a_HIST  07 NOV 2017 00:11  Y  22753/2017  24 NOV 2017 00:11  Y "/>
    <s v="EGM No. EGM Date Container No. Seal No. Error Message_x000a_R627641011  2017-11-10 0.0.0.0  TRLU7601994  410141  N.A. "/>
    <s v="ROSL Availed Amount(INR) Scroll Number Scroll Date_x000a_Y  7484  25863/2017  2017-11-20 0.0.0.0 "/>
    <x v="244"/>
    <s v="AWB No. Gateway Port Gateway EGM No. Gateway EGM Date Gateway Site ID Error Code_x000a_N.A.  INNSA1  N.A.  N.A.  N.A.  N.A. "/>
    <x v="2"/>
    <x v="77"/>
  </r>
  <r>
    <x v="0"/>
    <n v="9721864"/>
    <s v="2017/11/06"/>
    <s v="IEC CHA No. Job No. Job Date Port of Discharge Total Package Gross Weight (Kg) FOB(INR) Total Cess (INR) Drawback STR Total (DBK+STR) CIN NO. CIN DT. Reward Flag_x000a_0598032801  ADDPA2722RCH001  7204550  06 NOV 2017 12:11  BHBAH  273  4000  641675.58  0  9717  0  9717  N.A.  N.A.  Click here to view item wise reward details "/>
    <s v="Current Que LEO Date EP Copy Print Status DBK Scroll No Scroll Date EGM Integration Status_x000a_HIST  08 NOV 2017 00:11  Y  22753/2017  24 NOV 2017 00:11  Y "/>
    <s v="EGM No. EGM Date Container No. Seal No. Error Message_x000a_R667661111  2017-11-11 0.0.0.0  TRHU1567894  409974  N.A. "/>
    <s v="ROSL Availed Amount(INR) Scroll Number Scroll Date_x000a_N  0  ROSL NOT CLAIMED  ROSL NOT CLAIMED "/>
    <x v="245"/>
    <s v="AWB No. Gateway Port Gateway EGM No. Gateway EGM Date Gateway Site ID Error Code_x000a_N.A.  INMUN1  138363  2017-11-07 00:00:00.0  INMUN1  S "/>
    <x v="0"/>
    <x v="78"/>
  </r>
  <r>
    <x v="0"/>
    <n v="9725059"/>
    <s v="2017/11/06"/>
    <s v="IEC CHA No. Job No. Job Date Port of Discharge Total Package Gross Weight (Kg) FOB(INR) Total Cess (INR) Drawback STR Total (DBK+STR) CIN NO. CIN DT. Reward Flag_x000a_0515933520  AAFCS0723ACH002  7207933  06 NOV 2017 12:11  TZDAR  38  1838.04  1017689.67  0  14244  0  14244  N.A.  N.A.  Click here to view item wise reward details "/>
    <s v="Current Que LEO Date EP Copy Print Status DBK Scroll No Scroll Date EGM Integration Status_x000a_HIST  09 NOV 2017 00:11  Y  22753/2017  24 NOV 2017 00:11  Y "/>
    <s v="EGM No. EGM Date Container No. Seal No. Error Message_x000a_T897181411  2017-11-14 0.0.0.0  GVCU5235474  410172  N.A. "/>
    <s v="ROSL Availed Amount(INR) Scroll Number Scroll Date_x000a_N  0  ROSL NOT CLAIMED  ROSL NOT CLAIMED "/>
    <x v="246"/>
    <s v="AWB No. Gateway Port Gateway EGM No. Gateway EGM Date Gateway Site ID Error Code_x000a_N.A.  INNSA1  137353  2017-10-23 00:00:00.0  INNSA1  C "/>
    <x v="0"/>
    <x v="78"/>
  </r>
  <r>
    <x v="0"/>
    <n v="9731029"/>
    <s v="2017/11/06"/>
    <s v="IEC CHA No. Job No. Job Date Port of Discharge Total Package Gross Weight (Kg) FOB(INR) Total Cess (INR) Drawback STR Total (DBK+STR) CIN NO. CIN DT. Reward Flag_x000a_0507062884  AYZPP5973GCH001  7214312  06 NOV 2017 12:11  BRSSZ  55  2712  1399905  0  27998  0  27998  N.A.  N.A.  Click here to view item wise reward details "/>
    <s v="Current Que LEO Date EP Copy Print Status DBK Scroll No Scroll Date EGM Integration Status_x000a_HIST  09 NOV 2017 00:11  Y  22753/2017  24 NOV 2017 00:11  Y "/>
    <s v="EGM No. EGM Date Container No. Seal No. Error Message_x000a_R827541011  2017-11-10 0.0.0.0  FSCU8189292  003299  N.A. "/>
    <s v="ROSL Availed Amount(INR) Scroll Number Scroll Date_x000a_N  0  ROSL NOT CLAIMED  ROSL NOT CLAIMED "/>
    <x v="247"/>
    <s v="AWB No. Gateway Port Gateway EGM No. Gateway EGM Date Gateway Site ID Error Code_x000a_N.A.  INMUN1  137950  2017-11-01 00:00:00.0  INMUN1  S "/>
    <x v="0"/>
    <x v="22"/>
  </r>
  <r>
    <x v="0"/>
    <n v="9736929"/>
    <s v="2017/11/07"/>
    <s v="IEC CHA No. Job No. Job Date Port of Discharge Total Package Gross Weight (Kg) FOB(INR) Total Cess (INR) Drawback STR Total (DBK+STR) CIN NO. CIN DT. Reward Flag_x000a_0515019933  AADCA0273BCH001  7220585  07 NOV 2017 12:11  BJCOO  859  26003.19  8942925.17  0  178859  0  178859  N.A.  N.A.  Click here to view item wise reward details "/>
    <s v="Current Que LEO Date EP Copy Print Status DBK Scroll No Scroll Date EGM Integration Status_x000a_HIST  08 NOV 2017 00:11  Y  22753/2017  24 NOV 2017 00:11  Y "/>
    <s v="EGM No. EGM Date Container No. Seal No. Error Message_x000a_TX207081311  2017-11-13 0.0.0.0  MSKU2352794  410286  N.A. "/>
    <s v="ROSL Availed Amount(INR) Scroll Number Scroll Date_x000a_N  0  ROSL NOT CLAIMED  ROSL NOT CLAIMED "/>
    <x v="248"/>
    <s v="AWB No. Gateway Port Gateway EGM No. Gateway EGM Date Gateway Site ID Error Code_x000a_N.A.  INMUN1  141255  2017-12-23 00:00:00.0  INMUN1  S "/>
    <x v="0"/>
    <x v="0"/>
  </r>
  <r>
    <x v="0"/>
    <n v="9738912"/>
    <s v="2017/11/07"/>
    <s v="IEC CHA No. Job No. Job Date Port of Discharge Total Package Gross Weight (Kg) FOB(INR) Total Cess (INR) Drawback STR Total (DBK+STR) CIN NO. CIN DT. Reward Flag_x000a_0615002285  AAIFP4144LCH001  7222734  07 NOV 2017 12:11  IRBND  1304  18977.5  3567531.24  0  53513  0  53513  N.A.  N.A.  Click here to view item wise reward details "/>
    <s v="Current Que LEO Date EP Copy Print Status DBK Scroll No Scroll Date EGM Integration Status_x000a_HIST  14 NOV 2017 00:11  Y  24432/2018  25 MAR 2018 00:03  Y "/>
    <s v="EGM No. EGM Date Container No. Seal No. Error Message_x000a_T707501711  2017-11-17 0.0.0.0  TTNU9712600  410620  N.A. "/>
    <s v="ROSL Availed Amount(INR) Scroll Number Scroll Date_x000a_N  0  ROSL NOT CLAIMED  ROSL NOT CLAIMED "/>
    <x v="249"/>
    <s v="AWB No. Gateway Port Gateway EGM No. Gateway EGM Date Gateway Site ID Error Code_x000a_N.A.  INMUN1  151099  2018-05-28 00:00:00.0  INMUN1  S "/>
    <x v="0"/>
    <x v="79"/>
  </r>
  <r>
    <x v="0"/>
    <n v="9741196"/>
    <s v="2017/11/07"/>
    <s v="IEC CHA No. Job No. Job Date Port of Discharge Total Package Gross Weight (Kg) FOB(INR) Total Cess (INR) Drawback STR Total (DBK+STR) CIN NO. CIN DT. Reward Flag_x000a_0504008455  AHDPK8975CCH001  7225133  07 NOV 2017 12:11  KEMBA  49  940.02  343317.52  0  6866  0  6866  N.A.  N.A.  Click here to view item wise reward details "/>
    <s v="Current Que LEO Date EP Copy Print Status DBK Scroll No Scroll Date EGM Integration Status_x000a_HIST  09 NOV 2017 00:11  Y  22753/2017  24 NOV 2017 00:11  Y "/>
    <s v="EGM No. EGM Date Container No. Seal No. Error Message_x000a_R627641011  2017-11-10 0.0.0.0  GESU5146944  410131  N.A. "/>
    <s v="ROSL Availed Amount(INR) Scroll Number Scroll Date_x000a_N  0  ROSL NOT CLAIMED  ROSL NOT CLAIMED "/>
    <x v="250"/>
    <s v="AWB No. Gateway Port Gateway EGM No. Gateway EGM Date Gateway Site ID Error Code_x000a_N.A.  INNSA1  137370  2017-10-23 00:00:00.0  INNSA1  C "/>
    <x v="0"/>
    <x v="0"/>
  </r>
  <r>
    <x v="0"/>
    <n v="9776960"/>
    <s v="2017/11/08"/>
    <s v="IEC CHA No. Job No. Job Date Port of Discharge Total Package Gross Weight (Kg) FOB(INR) Total Cess (INR) Drawback STR Total (DBK+STR) CIN NO. CIN DT. Reward Flag_x000a_0597017891  AAZPM1462DCH001  7263106  08 NOV 2017 12:11  AEJEA  21  478.3  93799.52  0  1820  0  1820  N.A.  N.A.  Click here to view item wise reward details "/>
    <s v="Current Que LEO Date EP Copy Print Status DBK Scroll No Scroll Date EGM Integration Status_x000a_HIST  13 NOV 2017 00:11  Y  24432/2018  25 MAR 2018 00:03  Y "/>
    <s v="EGM No. EGM Date Container No. Seal No. Error Message_x000a_T257561711  2017-11-17 0.0.0.0  PALU5007291  410729  N.A. "/>
    <s v="ROSL Availed Amount(INR) Scroll Number Scroll Date_x000a_N  0  ROSL NOT CLAIMED  ROSL NOT CLAIMED "/>
    <x v="251"/>
    <s v="AWB No. Gateway Port Gateway EGM No. Gateway EGM Date Gateway Site ID Error Code_x000a_N.A.  INNSA1  138710  2017-11-13 00:00:00.0  INNSA1  S "/>
    <x v="0"/>
    <x v="80"/>
  </r>
  <r>
    <x v="0"/>
    <n v="9786910"/>
    <s v="2017/11/09"/>
    <s v="IEC CHA No. Job No. Job Date Port of Discharge Total Package Gross Weight (Kg) FOB(INR) Total Cess (INR) Drawback STR Total (DBK+STR) CIN NO. CIN DT. Reward Flag_x000a_0515019372  BEEPS0785MCH001  7273642  09 NOV 2017 12:11  ITNPL  153  2662.45  806736.74  0  12289  0  12289  N.A.  N.A.  Click here to view item wise reward details "/>
    <s v="Current Que LEO Date EP Copy Print Status DBK Scroll No Scroll Date EGM Integration Status_x000a_HIST  10 NOV 2017 00:11  Y  22753/2017  24 NOV 2017 00:11  Y "/>
    <s v="EGM No. EGM Date Container No. Seal No. Error Message_x000a_TX207081311  2017-11-13 0.0.0.0  MSCU6791570  410437  N.A. "/>
    <s v="ROSL Availed Amount(INR) Scroll Number Scroll Date_x000a_N  0  ROSL NOT CLAIMED  ROSL NOT CLAIMED "/>
    <x v="252"/>
    <s v="AWB No. Gateway Port Gateway EGM No. Gateway EGM Date Gateway Site ID Error Code_x000a_N.A.  INMUN1  139000  2017-11-17 00:00:00.0  INMUN1  S "/>
    <x v="0"/>
    <x v="81"/>
  </r>
  <r>
    <x v="0"/>
    <n v="9791045"/>
    <s v="2017/11/09"/>
    <s v="IEC CHA No. Job No. Job Date Port of Discharge Total Package Gross Weight (Kg) FOB(INR) Total Cess (INR) Drawback STR Total (DBK+STR) CIN NO. CIN DT. Reward Flag_x000a_0500075158  ADXPJ1610RCH001  7278026  09 NOV 2017 12:11  USBOS  7  78  206292.45  0  4126  0  4126  N.A.  N.A.  Click here to view item wise reward details "/>
    <s v="Current Que LEO Date EP Copy Print Status DBK Scroll No Scroll Date EGM Integration Status_x000a_HIST  10 NOV 2017 00:11  Y  22753/2017  24 NOV 2017 00:11  Y "/>
    <s v="EGM No. EGM Date Container No. Seal No. Error Message_x000a_R587241511  2017-11-15 0.0.0.0  TCLU9716714  410189  N.A. "/>
    <s v="ROSL Availed Amount(INR) Scroll Number Scroll Date_x000a_Y  3300  25863/2017  2017-11-20 0.0.0.0 "/>
    <x v="253"/>
    <s v="AWB No. Gateway Port Gateway EGM No. Gateway EGM Date Gateway Site ID Error Code_x000a_N.A.  INMUN1  138685  2017-11-13 00:00:00.0  INMUN1  S "/>
    <x v="2"/>
    <x v="82"/>
  </r>
  <r>
    <x v="0"/>
    <n v="9802291"/>
    <s v="2017/11/09"/>
    <s v="IEC CHA No. Job No. Job Date Port of Discharge Total Package Gross Weight (Kg) FOB(INR) Total Cess (INR) Drawback STR Total (DBK+STR) CIN NO. CIN DT. Reward Flag_x000a_0512057273  AABCR5347PCH001  7289922  09 NOV 2017 12:11  USHOU  114  2910  293944.92  0  4409  0  4409  N.A.  N.A.  Click here to view item wise reward details "/>
    <s v="Current Que LEO Date EP Copy Print Status DBK Scroll No Scroll Date EGM Integration Status_x000a_HIST  13 NOV 2017 00:11  Y  24432/2018  25 MAR 2018 00:03  Y "/>
    <s v="EGM No. EGM Date Container No. Seal No. Error Message_x000a_R897621811  2017-11-18 0.0.0.0  MRKU3131266  410718  N.A. "/>
    <s v="ROSL Availed Amount(INR) Scroll Number Scroll Date_x000a_N  0  ROSL NOT CLAIMED  ROSL NOT CLAIMED "/>
    <x v="254"/>
    <s v="AWB No. Gateway Port Gateway EGM No. Gateway EGM Date Gateway Site ID Error Code_x000a_N.A.  INPAV1  137989  2017-11-01 00:00:00.0  INPAV1  S "/>
    <x v="0"/>
    <x v="0"/>
  </r>
  <r>
    <x v="0"/>
    <n v="9852487"/>
    <s v="2017/11/13"/>
    <s v="IEC CHA No. Job No. Job Date Port of Discharge Total Package Gross Weight (Kg) FOB(INR) Total Cess (INR) Drawback STR Total (DBK+STR) CIN NO. CIN DT. Reward Flag_x000a_0504011057  AFBPM9459DCH001  7342938  13 NOV 2017 12:11  TJLBD  1514  21400  6950990.5  0  104265  0  104265  N.A.  N.A.  Click here to view item wise reward details "/>
    <s v="Current Que LEO Date EP Copy Print Status DBK Scroll No Scroll Date EGM Integration Status_x000a_HIST  15 NOV 2017 00:11  Y  22753/2017  24 NOV 2017 00:11  Y "/>
    <s v="EGM No. EGM Date Container No. Seal No. Error Message_x000a_T707501711  2017-11-17 0.0.0.0  GRMU4200324  410683  N.A. "/>
    <s v="ROSL Availed Amount(INR) Scroll Number Scroll Date_x000a_N  0  ROSL NOT CLAIMED  ROSL NOT CLAIMED "/>
    <x v="255"/>
    <s v="AWB No. Gateway Port Gateway EGM No. Gateway EGM Date Gateway Site ID Error Code_x000a_N.A.  INMUN1  139245  2017-11-21 00:00:00.0  INMUN1  S "/>
    <x v="0"/>
    <x v="0"/>
  </r>
  <r>
    <x v="0"/>
    <n v="9929860"/>
    <s v="2017/11/16"/>
    <s v="IEC CHA No. Job No. Job Date Port of Discharge Total Package Gross Weight (Kg) FOB(INR) Total Cess (INR) Drawback STR Total (DBK+STR) CIN NO. CIN DT. Reward Flag_x000a_5212012333  AAVCS2245KCH001  7425011  16 NOV 2017 12:11  AEJEA  86  1570  4408141.92  0  88163  0  88163  N.A.  N.A.  Click here to view item wise reward details "/>
    <s v="Current Que LEO Date EP Copy Print Status DBK Scroll No Scroll Date EGM Integration Status_x000a_HIST  17 NOV 2017 00:11  Y  22753/2017  24 NOV 2017 00:11  Y "/>
    <s v="EGM No. EGM Date Container No. Seal No. Error Message_x000a_R537902011  2017-11-20 0.0.0.0  FCIU8626623  411133  N.A. "/>
    <s v="ROSL Availed Amount(INR) Scroll Number Scroll Date_x000a_Y  70617  25870/2017  2017-11-30 0.0.0.0 "/>
    <x v="256"/>
    <s v="AWB No. Gateway Port Gateway EGM No. Gateway EGM Date Gateway Site ID Error Code_x000a_N.A.  INMUN1  139240  2017-11-21 00:00:00.0  INMUN1  S "/>
    <x v="2"/>
    <x v="0"/>
  </r>
  <r>
    <x v="0"/>
    <n v="9949379"/>
    <s v="2017/11/16"/>
    <s v="IEC CHA No. Job No. Job Date Port of Discharge Total Package Gross Weight (Kg) FOB(INR) Total Cess (INR) Drawback STR Total (DBK+STR) CIN NO. CIN DT. Reward Flag_x000a_0314004173  AEKPR9484FCH001  7445764  16 NOV 2017 12:11  KRBUS  8  12245  1535743.3  0  16893  0  16893  N.A.  N.A.  Click here to view item wise reward details "/>
    <s v="Current Que LEO Date EP Copy Print Status DBK Scroll No Scroll Date EGM Integration Status_x000a_HIST  18 NOV 2017 00:11  Y  22850/2017  30 NOV 2017 00:11  Y "/>
    <s v="EGM No. EGM Date Container No. Seal No. Error Message_x000a_R687342211  2017-11-22 0.0.0.0  DFSU6722642  411424  N.A. "/>
    <s v="ROSL Availed Amount(INR) Scroll Number Scroll Date_x000a_N  0  ROSL NOT CLAIMED  ROSL NOT CLAIMED "/>
    <x v="257"/>
    <s v="AWB No. Gateway Port Gateway EGM No. Gateway EGM Date Gateway Site ID Error Code_x000a_N.A.  INNSA1  138732  2017-11-14 00:00:00.0  INNSA1  S "/>
    <x v="0"/>
    <x v="0"/>
  </r>
  <r>
    <x v="0"/>
    <n v="9962200"/>
    <s v="2017/11/17"/>
    <s v="IEC CHA No. Job No. Job Date Port of Discharge Total Package Gross Weight (Kg) FOB(INR) Total Cess (INR) Drawback STR Total (DBK+STR) CIN NO. CIN DT. Reward Flag_x000a_0588044440  AACCP0287DCH001  7459328  17 NOV 2017 12:11  CNTAO  1  150  31092.15  0  622  0  622  N.A.  N.A.  Click here to view item wise reward details "/>
    <s v="Current Que LEO Date EP Copy Print Status DBK Scroll No Scroll Date EGM Integration Status_x000a_HIST  25 NOV 2017 00:11  Y  23003/2017  12 DEC 2017 00:12  Y "/>
    <s v="EGM No. EGM Date Container No. Seal No. Error Message_x000a_R387640112  2017-12-1 0.0.0.0  BSIU2622058  4125002  N.A. "/>
    <s v="ROSL Availed Amount(INR) Scroll Number Scroll Date_x000a_N  0  ROSL NOT CLAIMED  ROSL NOT CLAIMED "/>
    <x v="258"/>
    <s v="AWB No. Gateway Port Gateway EGM No. Gateway EGM Date Gateway Site ID Error Code_x000a_N.A.  INNSA1  N.A.  N.A.  N.A.  N.A. "/>
    <x v="0"/>
    <x v="0"/>
  </r>
  <r>
    <x v="0"/>
    <n v="9962305"/>
    <s v="2017/11/17"/>
    <s v="IEC CHA No. Job No. Job Date Port of Discharge Total Package Gross Weight (Kg) FOB(INR) Total Cess (INR) Drawback STR Total (DBK+STR) CIN NO. CIN DT. Reward Flag_x000a_0588044440  AACCP0287DCH001  7459451  17 NOV 2017 12:11  CNTAO  10  7278  1083421.48  0  21668  0  21668  N.A.  N.A.  Click here to view item wise reward details "/>
    <s v="Current Que LEO Date EP Copy Print Status DBK Scroll No Scroll Date EGM Integration Status_x000a_HIST  28 NOV 2017 00:11  Y  23003/2017  12 DEC 2017 00:12  Y "/>
    <s v="EGM No. EGM Date Container No. Seal No. Error Message_x000a_R387640112  2017-12-1 0.0.0.0  BSIU2622058  412502  N.A. "/>
    <s v="ROSL Availed Amount(INR) Scroll Number Scroll Date_x000a_N  0  ROSL NOT CLAIMED  ROSL NOT CLAIMED "/>
    <x v="259"/>
    <s v="AWB No. Gateway Port Gateway EGM No. Gateway EGM Date Gateway Site ID Error Code_x000a_N.A.  INNSA1  N.A.  N.A.  N.A.  N.A. "/>
    <x v="0"/>
    <x v="0"/>
  </r>
  <r>
    <x v="0"/>
    <n v="1023575"/>
    <s v="2017/11/20"/>
    <s v="IEC CHA No. Job No. Job Date Port of Discharge Total Package Gross Weight (Kg) FOB(INR) Total Cess (INR) Drawback STR Total (DBK+STR) CIN NO. CIN DT. Reward Flag_x000a_0506012905  FHMPS1058ECH001  7523924  20 NOV 2017 12:11  MYPKG  30  25390  1221791.25  0  0  0  0  N.A.  N.A.  Click here to view item wise reward details "/>
    <s v="Current Que LEO Date EP Copy Print Status DBK Scroll No Scroll Date EGM Integration Status_x000a_HIST  22 NOV 2017 00:11  Y  N.A.  N.A.  Y "/>
    <s v="EGM No. EGM Date Container No. Seal No. Error Message_x000a_T847822511  2017-11-25 0.0.0.0  HJCU8397833  411554  N.A. "/>
    <s v="ROSL Availed Amount(INR) Scroll Number Scroll Date_x000a_NULL  NULL  NULL  NULL "/>
    <x v="260"/>
    <s v="AWB No. Gateway Port Gateway EGM No. Gateway EGM Date Gateway Site ID Error Code_x000a_N.A.  INNSA1  139142  2017-11-20 00:00:00.0  INNSA1  S "/>
    <x v="1"/>
    <x v="62"/>
  </r>
  <r>
    <x v="0"/>
    <n v="1031757"/>
    <s v="2017/11/21"/>
    <s v="IEC CHA No. Job No. Job Date Port of Discharge Total Package Gross Weight (Kg) FOB(INR) Total Cess (INR) Drawback STR Total (DBK+STR) CIN NO. CIN DT. Reward Flag_x000a_0507004761  AADCR9553KCH003  7532585  21 NOV 2017 12:11  KEMBA  3  1365  980400  0  19608  0  19608  N.A.  N.A.  Click here to view item wise reward details "/>
    <s v="Current Que LEO Date EP Copy Print Status DBK Scroll No Scroll Date EGM Integration Status_x000a_HIST  24 NOV 2017 00:11  Y  23003/2017  12 DEC 2017 00:12  Y "/>
    <s v="EGM No. EGM Date Container No. Seal No. Error Message_x000a_R437503011  2017-11-30 0.0.0.0  TCNU9920746  411975  N.A. "/>
    <s v="ROSL Availed Amount(INR) Scroll Number Scroll Date_x000a_N  0  ROSL NOT CLAIMED  ROSL NOT CLAIMED "/>
    <x v="261"/>
    <s v="AWB No. Gateway Port Gateway EGM No. Gateway EGM Date Gateway Site ID Error Code_x000a_N.A.  INNSA1  137386  2017-10-23 00:00:00.0  INNSA1  S "/>
    <x v="0"/>
    <x v="0"/>
  </r>
  <r>
    <x v="0"/>
    <n v="1042281"/>
    <s v="2017/11/21"/>
    <s v="IEC CHA No. Job No. Job Date Port of Discharge Total Package Gross Weight (Kg) FOB(INR) Total Cess (INR) Drawback STR Total (DBK+STR) CIN NO. CIN DT. Reward Flag_x000a_0515015504  AHDPK8975CCH001  7543728  21 NOV 2017 12:11  SARUH  964  14303.76  5708637  0  114173  0  114173  N.A.  N.A.  Click here to view item wise reward details "/>
    <s v="Current Que LEO Date EP Copy Print Status DBK Scroll No Scroll Date EGM Integration Status_x000a_HIST  24 NOV 2017 00:11  Y  22915/2017  05 DEC 2017 00:12  Y "/>
    <s v="EGM No. EGM Date Container No. Seal No. Error Message_x000a_J167202811  2017-11-28 0.0.0.0  DFSU2200589  411827  N.A. "/>
    <s v="ROSL Availed Amount(INR) Scroll Number Scroll Date_x000a_N  0  ROSL NOT CLAIMED  ROSL NOT CLAIMED "/>
    <x v="262"/>
    <s v="AWB No. Gateway Port Gateway EGM No. Gateway EGM Date Gateway Site ID Error Code_x000a_N.A.  INMUN1  140712  2017-12-15 00:00:00.0  INMUN1  S "/>
    <x v="0"/>
    <x v="0"/>
  </r>
  <r>
    <x v="0"/>
    <n v="1046425"/>
    <s v="2017/11/21"/>
    <s v="IEC CHA No. Job No. Job Date Port of Discharge Total Package Gross Weight (Kg) FOB(INR) Total Cess (INR) Drawback STR Total (DBK+STR) CIN NO. CIN DT. Reward Flag_x000a_3091000621  AGVPS9920JCH001  7548095  21 NOV 2017 12:11  SARUH  142  5041  5898834.6  0  147226  0  147226  N.A.  N.A.  Click here to view item wise reward details "/>
    <s v="Current Que LEO Date EP Copy Print Status DBK Scroll No Scroll Date EGM Integration Status_x000a_HIST  23 NOV 2017 00:11  Y  22915/2017  05 DEC 2017 00:12  Y "/>
    <s v="EGM No. EGM Date Container No. Seal No. Error Message_x000a_R207722511  2017-11-25 0.0.0.0  MRSU3677223  411610  N.A. "/>
    <s v="ROSL Availed Amount(INR) Scroll Number Scroll Date_x000a_Y  68426  25875/2017  2017-12-10 0.0.0.0 "/>
    <x v="263"/>
    <s v="AWB No. Gateway Port Gateway EGM No. Gateway EGM Date Gateway Site ID Error Code_x000a_N.A.  INPAV1  137999  2017-11-01 00:00:00.0  INPAV1  S "/>
    <x v="2"/>
    <x v="83"/>
  </r>
  <r>
    <x v="0"/>
    <n v="1054151"/>
    <s v="2017/11/22"/>
    <s v="IEC CHA No. Job No. Job Date Port of Discharge Total Package Gross Weight (Kg) FOB(INR) Total Cess (INR) Drawback STR Total (DBK+STR) CIN NO. CIN DT. Reward Flag_x000a_0505000873  AOWPS6493KCH001  7556186  22 NOV 2017 12:11  THBKK  2  543.35  612417.83  0  11416  0  11416  N.A.  N.A.  Click here to view item wise reward details "/>
    <s v="Current Que LEO Date EP Copy Print Status DBK Scroll No Scroll Date EGM Integration Status_x000a_HIST  23 NOV 2017 00:11  Y  22850/2017  30 NOV 2017 00:11  Y "/>
    <s v="EGM No. EGM Date Container No. Seal No. Error Message_x000a_T847822511  2017-11-25 0.0.0.0  TCNU3363089  411483  N.A. "/>
    <s v="ROSL Availed Amount(INR) Scroll Number Scroll Date_x000a_N  0  ROSL NOT CLAIMED  ROSL NOT CLAIMED "/>
    <x v="264"/>
    <s v="AWB No. Gateway Port Gateway EGM No. Gateway EGM Date Gateway Site ID Error Code_x000a_N.A.  INNSA1  138641  2017-11-13 00:00:00.0  INNSA1  S "/>
    <x v="0"/>
    <x v="0"/>
  </r>
  <r>
    <x v="0"/>
    <n v="1062588"/>
    <s v="2017/11/22"/>
    <s v="IEC CHA No. Job No. Job Date Port of Discharge Total Package Gross Weight (Kg) FOB(INR) Total Cess (INR) Drawback STR Total (DBK+STR) CIN NO. CIN DT. Reward Flag_x000a_1414003447  AAACC6689ECH001  7565077  22 NOV 2017 12:11  CUHAV  20  120  541800  0  8127  0  8127  N.A.  N.A.  Click here to view item wise reward details "/>
    <s v="Current Que LEO Date EP Copy Print Status DBK Scroll No Scroll Date EGM Integration Status_x000a_HIST  30 NOV 2017 00:11  Y  23003/2017  12 DEC 2017 00:12  Y "/>
    <s v="EGM No. EGM Date Container No. Seal No. Error Message_x000a_T437060412  2017-12-4 0.0.0.0  KMTU7328622  412556  N.A. "/>
    <s v="ROSL Availed Amount(INR) Scroll Number Scroll Date_x000a_N  0  ROSL NOT CLAIMED  ROSL NOT CLAIMED "/>
    <x v="265"/>
    <s v="AWB No. Gateway Port Gateway EGM No. Gateway EGM Date Gateway Site ID Error Code_x000a_N.A.  INMUN1  139344  2017-11-22 00:00:00.0  INMUN1  S "/>
    <x v="0"/>
    <x v="0"/>
  </r>
  <r>
    <x v="0"/>
    <n v="1064566"/>
    <s v="2017/11/22"/>
    <s v="IEC CHA No. Job No. Job Date Port of Discharge Total Package Gross Weight (Kg) FOB(INR) Total Cess (INR) Drawback STR Total (DBK+STR) CIN NO. CIN DT. Reward Flag_x000a_0500075158  ADXPJ1610RCH001  7567166  22 NOV 2017 12:11  USBOS  79  950  1855697.25  0  37114  0  37114  N.A.  N.A.  Click here to view item wise reward details "/>
    <s v="Current Que LEO Date EP Copy Print Status DBK Scroll No Scroll Date EGM Integration Status_x000a_HIST  25 NOV 2017 00:11  Y  22915/2017  05 DEC 2017 00:12  Y "/>
    <s v="EGM No. EGM Date Container No. Seal No. Error Message_x000a_TX187402911  2017-11-29 0.0.0.0  TRLU7427748  411957  N.A. "/>
    <s v="ROSL Availed Amount(INR) Scroll Number Scroll Date_x000a_Y  31547  25875/2017  2017-12-10 0.0.0.0 "/>
    <x v="266"/>
    <s v="Please Wait...."/>
    <x v="2"/>
    <x v="0"/>
  </r>
  <r>
    <x v="0"/>
    <n v="1071189"/>
    <s v="2017/11/22"/>
    <s v="IEC CHA No. Job No. Job Date Port of Discharge Total Package Gross Weight (Kg) FOB(INR) Total Cess (INR) Drawback STR Total (DBK+STR) CIN NO. CIN DT. Reward Flag_x000a_0509047491  AOWPS6493KCH001  7574201  22 NOV 2017 12:11  BDCGP  1000  9344.5  967500  0  14513  0  14513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NYKU4799912  411945  N.A. "/>
    <s v="ROSL Availed Amount(INR) Scroll Number Scroll Date_x000a_N  0  ROSL NOT CLAIMED  ROSL NOT CLAIMED "/>
    <x v="267"/>
    <s v="AWB No. Gateway Port Gateway EGM No. Gateway EGM Date Gateway Site ID Error Code_x000a_N.A.  INNSA1  139138  2017-11-20 00:00:00.0  INNSA1  S "/>
    <x v="0"/>
    <x v="0"/>
  </r>
  <r>
    <x v="0"/>
    <n v="1071710"/>
    <s v="2017/11/22"/>
    <s v="IEC CHA No. Job No. Job Date Port of Discharge Total Package Gross Weight (Kg) FOB(INR) Total Cess (INR) Drawback STR Total (DBK+STR) CIN NO. CIN DT. Reward Flag_x000a_3307004344  AAAFA8105CCH001  7574720  22 NOV 2017 12:11  LKCMB  5  54.75  73530  0  1471  0  1471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BMOU6253517  411954  N.A. "/>
    <s v="ROSL Availed Amount(INR) Scroll Number Scroll Date_x000a_N  0  ROSL NOT CLAIMED  ROSL NOT CLAIMED "/>
    <x v="268"/>
    <s v="AWB No. Gateway Port Gateway EGM No. Gateway EGM Date Gateway Site ID Error Code_x000a_N.A.  INNSA1  138478  2017-11-09 00:00:00.0  INNSA1  S "/>
    <x v="0"/>
    <x v="0"/>
  </r>
  <r>
    <x v="0"/>
    <n v="1072758"/>
    <s v="2017/11/22"/>
    <s v="IEC CHA No. Job No. Job Date Port of Discharge Total Package Gross Weight (Kg) FOB(INR) Total Cess (INR) Drawback STR Total (DBK+STR) CIN NO. CIN DT. Reward Flag_x000a_0709012331  AACCN5026ECH007  7575851  22 NOV 2017 12:11  PACFZ  18  8427  4276460.94  0  85529  0  85529  N.A.  N.A.  Click here to view item wise reward details "/>
    <s v="Current Que LEO Date EP Copy Print Status DBK Scroll No Scroll Date EGM Integration Status_x000a_HIST  23 NOV 2017 00:11  Y  22850/2017  30 NOV 2017 00:11  Y "/>
    <s v="EGM No. EGM Date Container No. Seal No. Error Message_x000a_T967482311  2017-11-23 0.0.0.0  HASU1140092  003335  N.A. "/>
    <s v="ROSL Availed Amount(INR) Scroll Number Scroll Date_x000a_N  0  ROSL NOT CLAIMED  ROSL NOT CLAIMED "/>
    <x v="269"/>
    <s v="AWB No. Gateway Port Gateway EGM No. Gateway EGM Date Gateway Site ID Error Code_x000a_N.A.  INMUN1  139513  2017-11-24 00:00:00.0  INMUN1  S "/>
    <x v="0"/>
    <x v="0"/>
  </r>
  <r>
    <x v="0"/>
    <n v="1073185"/>
    <s v="2017/11/22"/>
    <s v="IEC CHA No. Job No. Job Date Port of Discharge Total Package Gross Weight (Kg) FOB(INR) Total Cess (INR) Drawback STR Total (DBK+STR) CIN NO. CIN DT. Reward Flag_x000a_0598045783  FHMPS1058ECH001  7576325  22 NOV 2017 12:11  KEMBA  34  636  406995  0  0  0  0  N.A.  N.A.  Click here to view item wise reward details "/>
    <s v="Current Que LEO Date EP Copy Print Status DBK Scroll No Scroll Date EGM Integration Status_x000a_HIST  25 NOV 2017 00:11  Y  N.A.  N.A.  Y "/>
    <s v="EGM No. EGM Date Container No. Seal No. Error Message_x000a_T857541412  2017-12-14 0.0.0.0  CAIU3489047  413637  N.A. "/>
    <s v="ROSL Availed Amount(INR) Scroll Number Scroll Date_x000a_NULL  NULL  NULL  NULL "/>
    <x v="270"/>
    <s v="AWB No. Gateway Port Gateway EGM No. Gateway EGM Date Gateway Site ID Error Code_x000a_N.A.  INMUN1  140625  2017-12-13 00:00:00.0  INMUN1  S "/>
    <x v="1"/>
    <x v="84"/>
  </r>
  <r>
    <x v="0"/>
    <n v="1090894"/>
    <s v="2017/11/23"/>
    <s v="IEC CHA No. Job No. Job Date Port of Discharge Total Package Gross Weight (Kg) FOB(INR) Total Cess (INR) Drawback STR Total (DBK+STR) CIN NO. CIN DT. Reward Flag_x000a_0595059040  AAGCA1465QCH001  7595016  23 NOV 2017 12:11  THBKK  50  2690.27  736994.88  0  14250  0  14250  N.A.  N.A.  Click here to view item wise reward details "/>
    <s v="Current Que LEO Date EP Copy Print Status DBK Scroll No Scroll Date EGM Integration Status_x000a_HIST  28 NOV 2017 00:11  Y  24208/2018  09 MAR 2018 00:03  Y "/>
    <s v="EGM No. EGM Date Container No. Seal No. Error Message_x000a_J197640912  2017-12-9 0.0.0.0  NYKU3801471  413243  N.A. "/>
    <s v="ROSL Availed Amount(INR) Scroll Number Scroll Date_x000a_N  0  ROSL NOT CLAIMED  ROSL NOT CLAIMED "/>
    <x v="271"/>
    <s v="AWB No. Gateway Port Gateway EGM No. Gateway EGM Date Gateway Site ID Error Code_x000a_N.A.  INNSA1  N.A.  N.A.  N.A.  N.A. "/>
    <x v="0"/>
    <x v="0"/>
  </r>
  <r>
    <x v="0"/>
    <n v="1099071"/>
    <s v="2017/11/23"/>
    <s v="IEC CHA No. Job No. Job Date Port of Discharge Total Package Gross Weight (Kg) FOB(INR) Total Cess (INR) Drawback STR Total (DBK+STR) CIN NO. CIN DT. Reward Flag_x000a_0592023052  AACCP0287DCH001  7603656  23 NOV 2017 12:11  TRAMB  5  2530  429786.56  0  8596  0  8596  N.A.  N.A.  Click here to view item wise reward details "/>
    <s v="Current Que LEO Date EP Copy Print Status DBK Scroll No Scroll Date EGM Integration Status_x000a_HIST  25 NOV 2017 00:11  Y  22915/2017  05 DEC 2017 00:12  Y "/>
    <s v="EGM No. EGM Date Container No. Seal No. Error Message_x000a_R627362911  2017-11-29 0.0.0.0  TRLU6853517  411953  N.A. "/>
    <s v="ROSL Availed Amount(INR) Scroll Number Scroll Date_x000a_N  0  ROSL NOT CLAIMED  ROSL NOT CLAIMED "/>
    <x v="272"/>
    <s v="AWB No. Gateway Port Gateway EGM No. Gateway EGM Date Gateway Site ID Error Code_x000a_N.A.  INNSA1  139301  2017-11-22 00:00:00.0  INNSA1  S "/>
    <x v="0"/>
    <x v="0"/>
  </r>
  <r>
    <x v="0"/>
    <n v="1168946"/>
    <s v="2017/11/27"/>
    <s v="IEC CHA No. Job No. Job Date Port of Discharge Total Package Gross Weight (Kg) FOB(INR) Total Cess (INR) Drawback STR Total (DBK+STR) CIN NO. CIN DT. Reward Flag_x000a_0504011057  AFBPM9459DCH001  7677446  27 NOV 2017 12:11  UZSKD  1196  15600  5296337.45  0  65964  0  65964  N.A.  N.A.  Click here to view item wise reward details "/>
    <s v="Current Que LEO Date EP Copy Print Status DBK Scroll No Scroll Date EGM Integration Status_x000a_HIST  28 NOV 2017 00:11  Y  23003/2017  12 DEC 2017 00:12  Y "/>
    <s v="EGM No. EGM Date Container No. Seal No. Error Message_x000a_R557523011  2017-11-30 0.0.0.0  TCNU9933281  412225  N.A. "/>
    <s v="ROSL Availed Amount(INR) Scroll Number Scroll Date_x000a_N  0  ROSL NOT CLAIMED  ROSL NOT CLAIMED "/>
    <x v="273"/>
    <s v="AWB No. Gateway Port Gateway EGM No. Gateway EGM Date Gateway Site ID Error Code_x000a_N.A.  INMUN1  140199  2017-12-06 00:00:00.0  INMUN1  S "/>
    <x v="0"/>
    <x v="0"/>
  </r>
  <r>
    <x v="0"/>
    <n v="1181054"/>
    <s v="2017/11/28"/>
    <s v="IEC CHA No. Job No. Job Date Port of Discharge Total Package Gross Weight (Kg) FOB(INR) Total Cess (INR) Drawback STR Total (DBK+STR) CIN NO. CIN DT. Reward Flag_x000a_0589043838  AAEFH1939HCH001  7690243  28 NOV 2017 12:11  KEMBA  32  1450  797394.15  0  11926  0  11926  N.A.  N.A.  Click here to view item wise reward details "/>
    <s v="Current Que LEO Date EP Copy Print Status DBK Scroll No Scroll Date EGM Integration Status_x000a_HIST  30 NOV 2017 00:11  Y  24432/2018  25 MAR 2018 00:03  Y "/>
    <s v="EGM No. EGM Date Container No. Seal No. Error Message_x000a_R337800212  2017-12-2 0.0.0.0  FCIU8321732  412535  N.A. "/>
    <s v="ROSL Availed Amount(INR) Scroll Number Scroll Date_x000a_N  0  ROSL NOT CLAIMED  ROSL NOT CLAIMED "/>
    <x v="274"/>
    <s v="AWB No. Gateway Port Gateway EGM No. Gateway EGM Date Gateway Site ID Error Code_x000a_N.A.  INNSA1  139557  2017-11-27 00:00:00.0  INNSA1  S "/>
    <x v="0"/>
    <x v="0"/>
  </r>
  <r>
    <x v="0"/>
    <n v="1192194"/>
    <s v="2017/11/28"/>
    <s v="IEC CHA No. Job No. Job Date Port of Discharge Total Package Gross Weight (Kg) FOB(INR) Total Cess (INR) Drawback STR Total (DBK+STR) CIN NO. CIN DT. Reward Flag_x000a_0507051360  AAAFJ1721HCH058  7702003  28 NOV 2017 12:11  THBKK  2  300  386600.1  0  806  0  806  N.A.  N.A.  Click here to view item wise reward details "/>
    <s v="Current Que LEO Date EP Copy Print Status DBK Scroll No Scroll Date EGM Integration Status_x000a_HIST  29 NOV 2017 00:11  Y  24432/2018  25 MAR 2018 00:03  Y "/>
    <s v="EGM No. EGM Date Container No. Seal No. Error Message_x000a_R27220612  2017-12-6 0.0.0.0  ZCSU2713253  412560  N.A. "/>
    <s v="ROSL Availed Amount(INR) Scroll Number Scroll Date_x000a_N  0  ROSL NOT CLAIMED  ROSL NOT CLAIMED "/>
    <x v="275"/>
    <s v="AWB No. Gateway Port Gateway EGM No. Gateway EGM Date Gateway Site ID Error Code_x000a_N.A.  INNSA1  139647  2017-11-28 00:00:00.0  INNSA1  S "/>
    <x v="0"/>
    <x v="85"/>
  </r>
  <r>
    <x v="0"/>
    <n v="1197442"/>
    <s v="2017/11/28"/>
    <s v="IEC CHA No. Job No. Job Date Port of Discharge Total Package Gross Weight (Kg) FOB(INR) Total Cess (INR) Drawback STR Total (DBK+STR) CIN NO. CIN DT. Reward Flag_x000a_0592006832  AAACC6689ECH001  7707559  28 NOV 2017 12:11  SRPBM  43  994.5  454005.83  0  0  0  0  N.A.  N.A.  Click here to view item wise reward details "/>
    <s v="Current Que LEO Date EP Copy Print Status DBK Scroll No Scroll Date EGM Integration Status_x000a_HIST  01 DEC 2017 00:12  Y  N.A.  N.A.  Y "/>
    <s v="EGM No. EGM Date Container No. Seal No. Error Message_x000a_J197640912  2017-12-9 0.0.0.0  TCKU1680074  413213  N.A. "/>
    <s v="ROSL Availed Amount(INR) Scroll Number Scroll Date_x000a_NULL  NULL  NULL  NULL "/>
    <x v="276"/>
    <s v="AWB No. Gateway Port Gateway EGM No. Gateway EGM Date Gateway Site ID Error Code_x000a_N.A.  INNSA1  139757  2017-11-29 00:00:00.0  INNSA1  S "/>
    <x v="1"/>
    <x v="86"/>
  </r>
  <r>
    <x v="0"/>
    <n v="1206147"/>
    <s v="2017/11/29"/>
    <s v="IEC CHA No. Job No. Job Date Port of Discharge Total Package Gross Weight (Kg) FOB(INR) Total Cess (INR) Drawback STR Total (DBK+STR) CIN NO. CIN DT. Reward Flag_x000a_0510019439  AACCP0287DCH001  7716769  29 NOV 2017 12:11  USCLE  720  18150  232200  0  0  0  0  N.A.  N.A.  Click here to view item wise reward details "/>
    <s v="Current Que LEO Date EP Copy Print Status DBK Scroll No Scroll Date EGM Integration Status_x000a_HIST  04 DEC 2017 00:12  Y  N.A.  N.A.  Y "/>
    <s v="EGM No. EGM Date Container No. Seal No. Error Message_x000a_J167401312  2017-12-13 0.0.0.0  HLBU1738246  413562  N.A. "/>
    <s v="ROSL Availed Amount(INR) Scroll Number Scroll Date_x000a_NULL  NULL  NULL  NULL "/>
    <x v="277"/>
    <s v="AWB No. Gateway Port Gateway EGM No. Gateway EGM Date Gateway Site ID Error Code_x000a_N.A.  INMUN1  141045  2017-12-20 00:00:00.0  INMUN1  S "/>
    <x v="1"/>
    <x v="0"/>
  </r>
  <r>
    <x v="0"/>
    <n v="1220745"/>
    <s v="2017/11/29"/>
    <s v="IEC CHA No. Job No. Job Date Port of Discharge Total Package Gross Weight (Kg) FOB(INR) Total Cess (INR) Drawback STR Total (DBK+STR) CIN NO. CIN DT. Reward Flag_x000a_0515933520  AAFCS0723ACH002  7732118  29 NOV 2017 12:11  TZDAR  17  639.71  218143.52  0  3200  0  3200  N.A.  N.A.  Click here to view item wise reward details "/>
    <s v="Current Que LEO Date EP Copy Print Status DBK Scroll No Scroll Date EGM Integration Status_x000a_HIST  04 DEC 2017 00:12  Y  23143/2017  22 DEC 2017 00:12  Y "/>
    <s v="EGM No. EGM Date Container No. Seal No. Error Message_x000a_J287881012  2017-12-10 0.0.0.0  GLDU7366712  413279  N.A. "/>
    <s v="ROSL Availed Amount(INR) Scroll Number Scroll Date_x000a_N  0  ROSL NOT CLAIMED  ROSL NOT CLAIMED "/>
    <x v="278"/>
    <s v="AWB No. Gateway Port Gateway EGM No. Gateway EGM Date Gateway Site ID Error Code_x000a_N.A.  INNSA1  138234  2017-11-06 00:00:00.0  INNSA1  S "/>
    <x v="0"/>
    <x v="0"/>
  </r>
  <r>
    <x v="0"/>
    <n v="1223298"/>
    <s v="2017/11/29"/>
    <s v="IEC CHA No. Job No. Job Date Port of Discharge Total Package Gross Weight (Kg) FOB(INR) Total Cess (INR) Drawback STR Total (DBK+STR) CIN NO. CIN DT. Reward Flag_x000a_0514078901  AABCT9850BCH003  7734839  29 NOV 2017 12:11  LKCMB  1  1102  1352758.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x v="279"/>
    <s v="AWB No. Gateway Port Gateway EGM No. Gateway EGM Date Gateway Site ID Error Code_x000a_N.A.  INNSA1  N.A.  N.A.  N.A.  N.A. "/>
    <x v="1"/>
    <x v="0"/>
  </r>
  <r>
    <x v="0"/>
    <n v="1223301"/>
    <s v="2017/11/29"/>
    <s v="IEC CHA No. Job No. Job Date Port of Discharge Total Package Gross Weight (Kg) FOB(INR) Total Cess (INR) Drawback STR Total (DBK+STR) CIN NO. CIN DT. Reward Flag_x000a_0514078901  AABCT9850BCH003  7734853  29 NOV 2017 12:11  LKCMB  2  1032  202207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x v="280"/>
    <s v="AWB No. Gateway Port Gateway EGM No. Gateway EGM Date Gateway Site ID Error Code_x000a_N.A.  INNSA1  N.A.  N.A.  N.A.  N.A. "/>
    <x v="1"/>
    <x v="0"/>
  </r>
  <r>
    <x v="0"/>
    <n v="1223387"/>
    <s v="2017/11/29"/>
    <s v="IEC CHA No. Job No. Job Date Port of Discharge Total Package Gross Weight (Kg) FOB(INR) Total Cess (INR) Drawback STR Total (DBK+STR) CIN NO. CIN DT. Reward Flag_x000a_0511068212  AHDPK8975CCH001  7734955  29 NOV 2017 12:11  BDCGP  400  4000  603075  0  905  0  905  N.A.  N.A.  Click here to view item wise reward details "/>
    <s v="Current Que LEO Date EP Copy Print Status DBK Scroll No Scroll Date EGM Integration Status_x000a_HIST  06 DEC 2017 00:12  Y  23043/2017  15 DEC 2017 00:12  Y "/>
    <s v="EGM No. EGM Date Container No. Seal No. Error Message_x000a_R1237121212  2017-12-12 0.0.0.0  MXCU0013026  413549  N.A. "/>
    <s v="ROSL Availed Amount(INR) Scroll Number Scroll Date_x000a_N  0  ROSL NOT CLAIMED  ROSL NOT CLAIMED "/>
    <x v="281"/>
    <s v="AWB No. Gateway Port Gateway EGM No. Gateway EGM Date Gateway Site ID Error Code_x000a_N.A.  INNSA1  139773  2017-11-29 00:00:00.0  INNSA1  S "/>
    <x v="0"/>
    <x v="87"/>
  </r>
  <r>
    <x v="0"/>
    <n v="1235474"/>
    <s v="2017/11/30"/>
    <s v="IEC CHA No. Job No. Job Date Port of Discharge Total Package Gross Weight (Kg) FOB(INR) Total Cess (INR) Drawback STR Total (DBK+STR) CIN NO. CIN DT. Reward Flag_x000a_3393002155  AAACU5306LCH002  7747640  30 NOV 2017 12:11  USNYC  1  267.6  191565  0  1164  0  1164  N.A.  N.A.  Click here to view item wise reward details "/>
    <s v="Current Que LEO Date EP Copy Print Status DBK Scroll No Scroll Date EGM Integration Status_x000a_HIST  04 DEC 2017 00:12  Y  23043/2017  15 DEC 2017 00:12  Y "/>
    <s v="EGM No. EGM Date Container No. Seal No. Error Message_x000a_J277400712  2017-12-7 0.0.0.0  CAIU9937278  412596  N.A. "/>
    <s v="ROSL Availed Amount(INR) Scroll Number Scroll Date_x000a_N  0  ROSL NOT CLAIMED  ROSL NOT CLAIMED "/>
    <x v="282"/>
    <s v="AWB No. Gateway Port Gateway EGM No. Gateway EGM Date Gateway Site ID Error Code_x000a_N.A.  INMUN1  138172  2017-11-03 00:00:00.0  INMUN1  S "/>
    <x v="0"/>
    <x v="88"/>
  </r>
  <r>
    <x v="0"/>
    <n v="1247813"/>
    <s v="2017/11/30"/>
    <s v="IEC CHA No. Job No. Job Date Port of Discharge Total Package Gross Weight (Kg) FOB(INR) Total Cess (INR) Drawback STR Total (DBK+STR) CIN NO. CIN DT. Reward Flag_x000a_3003005391  AAJFT3321JCH001  7760698  30 NOV 2017 12:11  LKCMB  301  6597.4  1783360.5  0  15199  0  15199  N.A.  N.A.  Click here to view item wise reward details "/>
    <s v="Current Que LEO Date EP Copy Print Status DBK Scroll No Scroll Date EGM Integration Status_x000a_HIST  01 DEC 2017 00:12  Y  23003/2017  12 DEC 2017 00:12  Y "/>
    <s v="EGM No. EGM Date Container No. Seal No. Error Message_x000a_R1237200512  2017-12-5 0.0.0.0  DFSU2225340  412619  N.A. "/>
    <s v="ROSL Availed Amount(INR) Scroll Number Scroll Date_x000a_N  0  ROSL NOT CLAIMED  ROSL NOT CLAIMED "/>
    <x v="283"/>
    <s v="AWB No. Gateway Port Gateway EGM No. Gateway EGM Date Gateway Site ID Error Code_x000a_N.A.  INPAV1  139653  2017-11-28 00:00:00.0  INPAV1  S "/>
    <x v="0"/>
    <x v="89"/>
  </r>
  <r>
    <x v="0"/>
    <n v="1249499"/>
    <s v="2017/11/30"/>
    <s v="IEC CHA No. Job No. Job Date Port of Discharge Total Package Gross Weight (Kg) FOB(INR) Total Cess (INR) Drawback STR Total (DBK+STR) CIN NO. CIN DT. Reward Flag_x000a_0500075158  ADXPJ1610RCH001  7762461  30 NOV 2017 12:11  USBOS  19  215  219493.5  0  3781  0  3781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512  25875/2017  2017-12-10 0.0.0.0 "/>
    <x v="284"/>
    <s v="AWB No. Gateway Port Gateway EGM No. Gateway EGM Date Gateway Site ID Error Code_x000a_N.A.  INMUN1  138172  2017-11-03 00:00:00.0  INMUN1  S "/>
    <x v="2"/>
    <x v="0"/>
  </r>
  <r>
    <x v="0"/>
    <n v="1249514"/>
    <s v="2017/11/30"/>
    <s v="IEC CHA No. Job No. Job Date Port of Discharge Total Package Gross Weight (Kg) FOB(INR) Total Cess (INR) Drawback STR Total (DBK+STR) CIN NO. CIN DT. Reward Flag_x000a_0500075158  ADXPJ1610RCH001  7762485  30 NOV 2017 12:11  USBOS  12  158  209012.25  0  4180  0  4180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344  25875/2017  2017-12-10 0.0.0.0 "/>
    <x v="285"/>
    <s v="AWB No. Gateway Port Gateway EGM No. Gateway EGM Date Gateway Site ID Error Code_x000a_N.A.  INMUN1  138172  2017-11-03 00:00:00.0  INMUN1  S "/>
    <x v="2"/>
    <x v="0"/>
  </r>
  <r>
    <x v="0"/>
    <n v="1252402"/>
    <s v="2017/11/30"/>
    <s v="IEC CHA No. Job No. Job Date Port of Discharge Total Package Gross Weight (Kg) FOB(INR) Total Cess (INR) Drawback STR Total (DBK+STR) CIN NO. CIN DT. Reward Flag_x000a_0509003061  AADCR9553KCH003  7765508  30 NOV 2017 12:11  MXATM  1  395  401125.5  0  5780  0  5780  N.A.  N.A.  Click here to view item wise reward details "/>
    <s v="Current Que LEO Date EP Copy Print Status DBK Scroll No Scroll Date EGM Integration Status_x000a_HIST  05 DEC 2017 00:12  Y  23003/2017  12 DEC 2017 00:12  Y "/>
    <s v="EGM No. EGM Date Container No. Seal No. Error Message_x000a_T907240612  2017-12-6 0.0.0.0  HAMU1019978  001176  N.A. "/>
    <s v="ROSL Availed Amount(INR) Scroll Number Scroll Date_x000a_N  0  ROSL NOT CLAIMED  ROSL NOT CLAIMED "/>
    <x v="286"/>
    <s v="AWB No. Gateway Port Gateway EGM No. Gateway EGM Date Gateway Site ID Error Code_x000a_N.A.  INMUN1  138681  2017-11-13 00:00:00.0  INMUN1  S "/>
    <x v="0"/>
    <x v="90"/>
  </r>
  <r>
    <x v="0"/>
    <n v="1254519"/>
    <s v="2017/11/30"/>
    <s v="IEC CHA No. Job No. Job Date Port of Discharge Total Package Gross Weight (Kg) FOB(INR) Total Cess (INR) Drawback STR Total (DBK+STR) CIN NO. CIN DT. Reward Flag_x000a_0509003061  AADCR9553KCH003  7767682  30 NOV 2017 12:11  MXATM  16  4560  7457793.15  0  66470  0  66470  N.A.  N.A.  Click here to view item wise reward details "/>
    <s v="Current Que LEO Date EP Copy Print Status DBK Scroll No Scroll Date EGM Integration Status_x000a_HIST  05 DEC 2017 00:12  Y  24432/2018  25 MAR 2018 00:03  Y "/>
    <s v="EGM No. EGM Date Container No. Seal No. Error Message_x000a_T907240612  2017-12-6 0.0.0.0  HAMU1019978  001176  N.A. "/>
    <s v="ROSL Availed Amount(INR) Scroll Number Scroll Date_x000a_N  0  ROSL NOT CLAIMED  ROSL NOT CLAIMED "/>
    <x v="287"/>
    <s v="AWB No. Gateway Port Gateway EGM No. Gateway EGM Date Gateway Site ID Error Code_x000a_N.A.  INMUN1  138991  2017-11-17 00:00:00.0  INMUN1  S "/>
    <x v="0"/>
    <x v="90"/>
  </r>
  <r>
    <x v="0"/>
    <n v="1254838"/>
    <s v="2017/11/30"/>
    <s v="IEC CHA No. Job No. Job Date Port of Discharge Total Package Gross Weight (Kg) FOB(INR) Total Cess (INR) Drawback STR Total (DBK+STR) CIN NO. CIN DT. Reward Flag_x000a_0512064172  AKMPA9089KCH001  7768027  30 NOV 2017 12:11  AEJEA  24  1000  1993836.32  0  41725  0  41725  N.A.  N.A.  Click here to view item wise reward details "/>
    <s v="Current Que LEO Date EP Copy Print Status DBK Scroll No Scroll Date EGM Integration Status_x000a_HIST  04 DEC 2017 00:12  Y  23003/2017  12 DEC 2017 00:12  Y "/>
    <s v="EGM No. EGM Date Container No. Seal No. Error Message_x000a_J277400712  2017-12-7 0.0.0.0  CAXU8229337  413201  N.A. "/>
    <s v="ROSL Availed Amount(INR) Scroll Number Scroll Date_x000a_Y  26390  25879/2017  2017-12-20 0.0.0.0 "/>
    <x v="288"/>
    <s v="AWB No. Gateway Port Gateway EGM No. Gateway EGM Date Gateway Site ID Error Code_x000a_N.A.  INMUN1  140232  2017-12-07 00:00:00.0  INMUN1  S "/>
    <x v="2"/>
    <x v="91"/>
  </r>
  <r>
    <x v="0"/>
    <n v="1255601"/>
    <s v="2017/11/30"/>
    <s v="IEC CHA No. Job No. Job Date Port of Discharge Total Package Gross Weight (Kg) FOB(INR) Total Cess (INR) Drawback STR Total (DBK+STR) CIN NO. CIN DT. Reward Flag_x000a_0513021612  AEOPA9390KCH001  7768840  30 NOV 2017 12:11  MUPLU  64  1072  564385.32  0  11074  0  11074  N.A.  N.A.  Click here to view item wise reward details "/>
    <s v="Current Que LEO Date EP Copy Print Status DBK Scroll No Scroll Date EGM Integration Status_x000a_HIST  04 DEC 2017 00:12  Y  23003/2017  12 DEC 2017 00:12  Y "/>
    <s v="EGM No. EGM Date Container No. Seal No. Error Message_x000a_J197640912  2017-12-9 0.0.0.0  VSTU9000091  413278  N.A. "/>
    <s v="ROSL Availed Amount(INR) Scroll Number Scroll Date_x000a_N  0  ROSL NOT CLAIMED  ROSL NOT CLAIMED "/>
    <x v="289"/>
    <s v="AWB No. Gateway Port Gateway EGM No. Gateway EGM Date Gateway Site ID Error Code_x000a_N.A.  INNSA1  139792  2017-11-30 00:00:00.0  INNSA1  S "/>
    <x v="0"/>
    <x v="0"/>
  </r>
  <r>
    <x v="0"/>
    <n v="1269121"/>
    <s v="2017/12/01"/>
    <s v="IEC CHA No. Job No. Job Date Port of Discharge Total Package Gross Weight (Kg) FOB(INR) Total Cess (INR) Drawback STR Total (DBK+STR) CIN NO. CIN DT. Reward Flag_x000a_0516526065  AADCA0273BCH001  7783051  01 DEC 2017 12:12  USDAL  168  1974.3  335390.33  0  6334  0  6334  N.A.  N.A.  Click here to view item wise reward details "/>
    <s v="Current Que LEO Date EP Copy Print Status DBK Scroll No Scroll Date EGM Integration Status_x000a_HIST  04 DEC 2017 00:12  Y  23003/2017  12 DEC 2017 00:12  Y "/>
    <s v="EGM No. EGM Date Container No. Seal No. Error Message_x000a_R957620812  2017-12-8 0.0.0.0  MRKU8210434  413245  N.A. "/>
    <s v="ROSL Availed Amount(INR) Scroll Number Scroll Date_x000a_N  0  ROSL NOT CLAIMED  ROSL NOT CLAIMED "/>
    <x v="290"/>
    <s v="AWB No. Gateway Port Gateway EGM No. Gateway EGM Date Gateway Site ID Error Code_x000a_N.A.  INPAV1  139963  2017-12-04 00:00:00.0  INPAV1  S "/>
    <x v="0"/>
    <x v="92"/>
  </r>
  <r>
    <x v="0"/>
    <n v="1274037"/>
    <s v="2017/12/01"/>
    <s v="IEC CHA No. Job No. Job Date Port of Discharge Total Package Gross Weight (Kg) FOB(INR) Total Cess (INR) Drawback STR Total (DBK+STR) CIN NO. CIN DT. Reward Flag_x000a_0504077104  AASPK9028QCH001  7788226  01 DEC 2017 12:12  CHZRH  21  1385  312647.4  0  6878  0  6878  N.A.  N.A.  Click here to view item wise reward details "/>
    <s v="Current Que LEO Date EP Copy Print Status DBK Scroll No Scroll Date EGM Integration Status_x000a_HIST  07 DEC 2017 00:12  Y  23143/2017  22 DEC 2017 00:12  Y "/>
    <s v="EGM No. EGM Date Container No. Seal No. Error Message_x000a_J177821612  2017-12-16 0.0.0.0  TCNU9183314  414208  N.A. "/>
    <s v="ROSL Availed Amount(INR) Scroll Number Scroll Date_x000a_N  0  ROSL NOT CLAIMED  ROSL NOT CLAIMED "/>
    <x v="291"/>
    <s v="AWB No. Gateway Port Gateway EGM No. Gateway EGM Date Gateway Site ID Error Code_x000a_N.A.  INMUN1  140925  2017-12-19 00:00:00.0  INMUN1  S "/>
    <x v="0"/>
    <x v="0"/>
  </r>
  <r>
    <x v="0"/>
    <n v="1277877"/>
    <s v="2017/12/01"/>
    <s v="IEC CHA No. Job No. Job Date Port of Discharge Total Package Gross Weight (Kg) FOB(INR) Total Cess (INR) Drawback STR Total (DBK+STR) CIN NO. CIN DT. Reward Flag_x000a_0588062359  AEEPG2440LCH001  7792284  01 DEC 2017 12:12  CAMTR  6  65  124333.92  0  2487  0  2487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2114  25879/2017  2017-12-20 0.0.0.0 "/>
    <x v="292"/>
    <s v="AWB No. Gateway Port Gateway EGM No. Gateway EGM Date Gateway Site ID Error Code_x000a_N.A.  INNSA1  140047  2017-12-05 00:00:00.0  INNSA1  S "/>
    <x v="2"/>
    <x v="93"/>
  </r>
  <r>
    <x v="0"/>
    <n v="1277880"/>
    <s v="2017/12/01"/>
    <s v="IEC CHA No. Job No. Job Date Port of Discharge Total Package Gross Weight (Kg) FOB(INR) Total Cess (INR) Drawback STR Total (DBK+STR) CIN NO. CIN DT. Reward Flag_x000a_0588062359  AEEPG2440LCH001  7792296  01 DEC 2017 12:12  USNYC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x v="293"/>
    <s v="AWB No. Gateway Port Gateway EGM No. Gateway EGM Date Gateway Site ID Error Code_x000a_N.A.  INNSA1  140047  2017-12-05 00:00:00.0  INNSA1  S "/>
    <x v="2"/>
    <x v="93"/>
  </r>
  <r>
    <x v="0"/>
    <n v="1277951"/>
    <s v="2017/12/01"/>
    <s v="IEC CHA No. Job No. Job Date Port of Discharge Total Package Gross Weight (Kg) FOB(INR) Total Cess (INR) Drawback STR Total (DBK+STR) CIN NO. CIN DT. Reward Flag_x000a_0588062359  AEEPG2440LCH001  7792342  01 DEC 2017 12:12  CAMTR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x v="293"/>
    <s v="AWB No. Gateway Port Gateway EGM No. Gateway EGM Date Gateway Site ID Error Code_x000a_N.A.  INNSA1  140047  2017-12-05 00:00:00.0  INNSA1  S "/>
    <x v="2"/>
    <x v="93"/>
  </r>
  <r>
    <x v="0"/>
    <n v="1310855"/>
    <s v="2017/12/04"/>
    <s v="IEC CHA No. Job No. Job Date Port of Discharge Total Package Gross Weight (Kg) FOB(INR) Total Cess (INR) Drawback STR Total (DBK+STR) CIN NO. CIN DT. Reward Flag_x000a_0516954725  AVAPS6694RCH001  7826882  04 DEC 2017 12:12  OMSOH  20  670  492780  0  0  0  0  N.A.  N.A.  Click here to view item wise reward details "/>
    <s v="Current Que LEO Date EP Copy Print Status DBK Scroll No Scroll Date EGM Integration Status_x000a_HIST  06 DEC 2017 00:12  Y  N.A.  N.A.  Y "/>
    <s v="EGM No. EGM Date Container No. Seal No. Error Message_x000a_J287881012  2017-12-10 0.0.0.0  GESU5079213  413264  N.A. "/>
    <s v="ROSL Availed Amount(INR) Scroll Number Scroll Date_x000a_NULL  NULL  NULL  NULL "/>
    <x v="294"/>
    <s v="AWB No. Gateway Port Gateway EGM No. Gateway EGM Date Gateway Site ID Error Code_x000a_N.A.  INNSA1  140041  2017-12-05 00:00:00.0  INNSA1  S "/>
    <x v="1"/>
    <x v="0"/>
  </r>
  <r>
    <x v="0"/>
    <n v="1317115"/>
    <s v="2017/12/04"/>
    <s v="IEC CHA No. Job No. Job Date Port of Discharge Total Package Gross Weight (Kg) FOB(INR) Total Cess (INR) Drawback STR Total (DBK+STR) CIN NO. CIN DT. Reward Flag_x000a_0588062359  AEEPG2440LCH001  7833526  04 DEC 2017 12:12  USNYC  8  93  181320.3  0  3626  0  3626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3082  25879/2017  2017-12-20 0.0.0.0 "/>
    <x v="295"/>
    <s v="AWB No. Gateway Port Gateway EGM No. Gateway EGM Date Gateway Site ID Error Code_x000a_N.A.  INNSA1  140047  2017-12-05 00:00:00.0  INNSA1  S "/>
    <x v="2"/>
    <x v="93"/>
  </r>
  <r>
    <x v="0"/>
    <n v="1318155"/>
    <s v="2017/12/04"/>
    <s v="IEC CHA No. Job No. Job Date Port of Discharge Total Package Gross Weight (Kg) FOB(INR) Total Cess (INR) Drawback STR Total (DBK+STR) CIN NO. CIN DT. Reward Flag_x000a_0588062359  AEEPG2440LCH001  7834610  04 DEC 2017 12:12  USNYC  4  43  97770.75  0  882  0  882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3688  N.A. "/>
    <s v="ROSL Availed Amount(INR) Scroll Number Scroll Date_x000a_Y  1564  25879/2017  2017-12-20 0.0.0.0 "/>
    <x v="296"/>
    <s v="AWB No. Gateway Port Gateway EGM No. Gateway EGM Date Gateway Site ID Error Code_x000a_N.A.  INNSA1  140047  2017-12-05 00:00:00.0  INNSA1  S "/>
    <x v="2"/>
    <x v="93"/>
  </r>
  <r>
    <x v="0"/>
    <n v="1318294"/>
    <s v="2017/12/04"/>
    <s v="IEC CHA No. Job No. Job Date Port of Discharge Total Package Gross Weight (Kg) FOB(INR) Total Cess (INR) Drawback STR Total (DBK+STR) CIN NO. CIN DT. Reward Flag_x000a_2203003405  AABCS7195NCH001  7834787  04 DEC 2017 12:12  FRLEH  23  24570  2422086.05  0  48442  0  48442  N.A.  N.A.  Click here to view item wise reward details "/>
    <s v="Current Que LEO Date EP Copy Print Status DBK Scroll No Scroll Date EGM Integration Status_x000a_HIST  05 DEC 2017 00:12  Y  23003/2017  12 DEC 2017 00:12  Y "/>
    <s v="EGM No. EGM Date Container No. Seal No. Error Message_x000a_R577300612  2017-12-6 0.0.0.0  NYKU3913872  412767  N.A. "/>
    <s v="ROSL Availed Amount(INR) Scroll Number Scroll Date_x000a_N  0  ROSL NOT CLAIMED  ROSL NOT CLAIMED "/>
    <x v="297"/>
    <s v="AWB No. Gateway Port Gateway EGM No. Gateway EGM Date Gateway Site ID Error Code_x000a_N.A.  INMUN1  139070  2017-11-17 00:00:00.0  INMUN1  S "/>
    <x v="0"/>
    <x v="0"/>
  </r>
  <r>
    <x v="0"/>
    <n v="1323400"/>
    <s v="2017/12/04"/>
    <s v="IEC CHA No. Job No. Job Date Port of Discharge Total Package Gross Weight (Kg) FOB(INR) Total Cess (INR) Drawback STR Total (DBK+STR) CIN NO. CIN DT. Reward Flag_x000a_0505000873  AOWPS6493KCH001  7840211  04 DEC 2017 12:12  MYPKG  4  2825.3  773677.5  0  15474  0  15474  N.A.  N.A.  Click here to view item wise reward details "/>
    <s v="Current Que LEO Date EP Copy Print Status DBK Scroll No Scroll Date EGM Integration Status_x000a_HIST  06 DEC 2017 00:12  Y  23143/2017  22 DEC 2017 00:12  Y "/>
    <s v="EGM No. EGM Date Container No. Seal No. Error Message_x000a_R27741512  2017-12-15 0.0.0.0  TCNU5910694  413686  N.A. "/>
    <s v="ROSL Availed Amount(INR) Scroll Number Scroll Date_x000a_N  0  ROSL NOT CLAIMED  ROSL NOT CLAIMED "/>
    <x v="298"/>
    <s v="AWB No. Gateway Port Gateway EGM No. Gateway EGM Date Gateway Site ID Error Code_x000a_N.A.  INNSA1  139999  2017-12-04 00:00:00.0  INNSA1  S "/>
    <x v="0"/>
    <x v="0"/>
  </r>
  <r>
    <x v="0"/>
    <n v="1341857"/>
    <s v="2017/12/05"/>
    <s v="IEC CHA No. Job No. Job Date Port of Discharge Total Package Gross Weight (Kg) FOB(INR) Total Cess (INR) Drawback STR Total (DBK+STR) CIN NO. CIN DT. Reward Flag_x000a_3000004394  AAEPI0406QCH001  7859753  05 DEC 2017 12:12  GBFXT  52  784.09  1357362.75  0  27147  0  27147  N.A.  N.A.  Click here to view item wise reward details "/>
    <s v="Current Que LEO Date EP Copy Print Status DBK Scroll No Scroll Date EGM Integration Status_x000a_HIST  07 DEC 2017 00:12  Y  23003/2017  12 DEC 2017 00:12  Y "/>
    <s v="EGM No. EGM Date Container No. Seal No. Error Message_x000a_J197640912  2017-12-9 0.0.0.0  MRKU5656130  413256  N.A. "/>
    <s v="ROSL Availed Amount(INR) Scroll Number Scroll Date_x000a_Y  23075  28259/2018  2018-6-15 0.0.0.0 "/>
    <x v="299"/>
    <s v="AWB No. Gateway Port Gateway EGM No. Gateway EGM Date Gateway Site ID Error Code_x000a_N.A.  INNSA1  138232  2017-11-06 00:00:00.0  INNSA1  N "/>
    <x v="2"/>
    <x v="94"/>
  </r>
  <r>
    <x v="0"/>
    <n v="1349436"/>
    <s v="2017/12/05"/>
    <s v="IEC CHA No. Job No. Job Date Port of Discharge Total Package Gross Weight (Kg) FOB(INR) Total Cess (INR) Drawback STR Total (DBK+STR) CIN NO. CIN DT. Reward Flag_x000a_0504019392  AVAPS6694RCH001  7867709  05 DEC 2017 12:12  DEHAM  6  2589.96  920478.94  0  11231  0  11231  N.A.  N.A.  Click here to view item wise reward details "/>
    <s v="Current Que LEO Date EP Copy Print Status DBK Scroll No Scroll Date EGM Integration Status_x000a_HIST  07 DEC 2017 00:12  Y  23143/2017  22 DEC 2017 00:12  Y "/>
    <s v="EGM No. EGM Date Container No. Seal No. Error Message_x000a_R607421312  2017-12-13 0.0.0.0  BSIU2178771  413647  N.A. "/>
    <s v="ROSL Availed Amount(INR) Scroll Number Scroll Date_x000a_N  0  ROSL NOT CLAIMED  ROSL NOT CLAIMED "/>
    <x v="300"/>
    <s v="AWB No. Gateway Port Gateway EGM No. Gateway EGM Date Gateway Site ID Error Code_x000a_N.A.  INNSA1  140472  2017-12-12 00:00:00.0  INNSA1  S "/>
    <x v="0"/>
    <x v="0"/>
  </r>
  <r>
    <x v="0"/>
    <n v="1349513"/>
    <s v="2017/12/05"/>
    <s v="IEC CHA No. Job No. Job Date Port of Discharge Total Package Gross Weight (Kg) FOB(INR) Total Cess (INR) Drawback STR Total (DBK+STR) CIN NO. CIN DT. Reward Flag_x000a_0501016481  AABCT4959MCH001  7867772  05 DEC 2017 12:12  MXZLO  34  930  392459.28  0  5237  0  5237  N.A.  N.A.  Click here to view item wise reward details "/>
    <s v="Current Que LEO Date EP Copy Print Status DBK Scroll No Scroll Date EGM Integration Status_x000a_HIST  13 DEC 2017 00:12  Y  23143/2017  22 DEC 2017 00:12  Y "/>
    <s v="EGM No. EGM Date Container No. Seal No. Error Message_x000a_R267901612  2017-12-16 0.0.0.0  TCLU9304152  414201  N.A. "/>
    <s v="ROSL Availed Amount(INR) Scroll Number Scroll Date_x000a_N  0  ROSL NOT CLAIMED  ROSL NOT CLAIMED "/>
    <x v="301"/>
    <s v="AWB No. Gateway Port Gateway EGM No. Gateway EGM Date Gateway Site ID Error Code_x000a_N.A.  INNSA1  139986  2017-12-04 00:00:00.0  INNSA1  S "/>
    <x v="0"/>
    <x v="0"/>
  </r>
  <r>
    <x v="0"/>
    <n v="1350667"/>
    <s v="2017/12/05"/>
    <s v="IEC CHA No. Job No. Job Date Port of Discharge Total Package Gross Weight (Kg) FOB(INR) Total Cess (INR) Drawback STR Total (DBK+STR) CIN NO. CIN DT. Reward Flag_x000a_0588128180  AATPS3087NCH001  7869014  05 DEC 2017 12:12  ZADUR  596  14834  1666744.5  0  22967  0  22967  N.A.  N.A.  Click here to view item wise reward details "/>
    <s v="Current Que LEO Date EP Copy Print Status DBK Scroll No Scroll Date EGM Integration Status_x000a_HIST  07 DEC 2017 00:12  Y  23043/2017  15 DEC 2017 00:12  Y "/>
    <s v="EGM No. EGM Date Container No. Seal No. Error Message_x000a_T1007221212  2017-12-12 0.0.0.0  CRXU1571954  413346  N.A. "/>
    <s v="ROSL Availed Amount(INR) Scroll Number Scroll Date_x000a_N  0  ROSL NOT CLAIMED  ROSL NOT CLAIMED "/>
    <x v="302"/>
    <s v="AWB No. Gateway Port Gateway EGM No. Gateway EGM Date Gateway Site ID Error Code_x000a_N.A.  INMUN1  140703  2017-12-14 00:00:00.0  INMUN1  S "/>
    <x v="0"/>
    <x v="0"/>
  </r>
  <r>
    <x v="0"/>
    <n v="1364053"/>
    <s v="2017/12/06"/>
    <s v="IEC CHA No. Job No. Job Date Port of Discharge Total Package Gross Weight (Kg) FOB(INR) Total Cess (INR) Drawback STR Total (DBK+STR) CIN NO. CIN DT. Reward Flag_x000a_0504077171  AKOPK7974PCH001  7883107  06 DEC 2017 12:12  LKCMB  2100  105210  2719320  0  0  0  0  N.A.  N.A.  Click here to view item wise reward details "/>
    <s v="Current Que LEO Date EP Copy Print Status DBK Scroll No Scroll Date EGM Integration Status_x000a_HIST  08 DEC 2017 00:12  Y  N.A.  N.A.  Y "/>
    <s v="EGM No. EGM Date Container No. Seal No. Error Message_x000a_TX187580812  2017-12-8 0.0.0.0  TGHU3089350  004585  N.A. "/>
    <s v="ROSL Availed Amount(INR) Scroll Number Scroll Date_x000a_NULL  NULL  NULL  NULL "/>
    <x v="303"/>
    <s v="AWB No. Gateway Port Gateway EGM No. Gateway EGM Date Gateway Site ID Error Code_x000a_N.A.  INMUN1  140290  2017-12-07 00:00:00.0  INMUN1  S "/>
    <x v="1"/>
    <x v="95"/>
  </r>
  <r>
    <x v="0"/>
    <n v="1367821"/>
    <s v="2017/12/06"/>
    <s v="IEC CHA No. Job No. Job Date Port of Discharge Total Package Gross Weight (Kg) FOB(INR) Total Cess (INR) Drawback STR Total (DBK+STR) CIN NO. CIN DT. Reward Flag_x000a_0514067969  ADXPJ1610RCH001  7887075  06 DEC 2017 12:12  USNYC  116  2552  1638558  0  2458  0  2458  N.A.  N.A.  Click here to view item wise reward details "/>
    <s v="Current Que LEO Date EP Copy Print Status DBK Scroll No Scroll Date EGM Integration Status_x000a_HIST  08 DEC 2017 00:12  Y  23237/2017  29 DEC 2017 00:12  Y "/>
    <s v="EGM No. EGM Date Container No. Seal No. Error Message_x000a_R27402112  2017-12-21 0.0.0.0  BSIU2864848  414270  N.A. "/>
    <s v="ROSL Availed Amount(INR) Scroll Number Scroll Date_x000a_N  0  ROSL NOT CLAIMED  ROSL NOT CLAIMED "/>
    <x v="304"/>
    <s v="AWB No. Gateway Port Gateway EGM No. Gateway EGM Date Gateway Site ID Error Code_x000a_N.A.  INNSA1  140726  2017-12-15 00:00:00.0  INNSA1  C "/>
    <x v="0"/>
    <x v="96"/>
  </r>
  <r>
    <x v="0"/>
    <n v="1381867"/>
    <s v="2017/12/06"/>
    <s v="IEC CHA No. Job No. Job Date Port of Discharge Total Package Gross Weight (Kg) FOB(INR) Total Cess (INR) Drawback STR Total (DBK+STR) CIN NO. CIN DT. Reward Flag_x000a_0500050139  AACFL6638BCH001  7901913  06 DEC 2017 12:12  USSVQ  2698  16620  5315986.8  0  0  0  0  N.A.  N.A.  Click here to view item wise reward details "/>
    <s v="Current Que LEO Date EP Copy Print Status DBK Scroll No Scroll Date EGM Integration Status_x000a_HIST  07 DEC 2017 00:12  Y  N.A.  N.A.  Y "/>
    <s v="EGM No. EGM Date Container No. Seal No. Error Message_x000a_R397500812  2017-12-8 0.0.0.0  MSKU6199024  413024  N.A. "/>
    <s v="ROSL Availed Amount(INR) Scroll Number Scroll Date_x000a_NULL  NULL  NULL  NULL "/>
    <x v="305"/>
    <s v="AWB No. Gateway Port Gateway EGM No. Gateway EGM Date Gateway Site ID Error Code_x000a_N.A.  INPAV1  139963  2017-12-04 00:00:00.0  INPAV1  S "/>
    <x v="1"/>
    <x v="95"/>
  </r>
  <r>
    <x v="0"/>
    <n v="1386534"/>
    <s v="2017/12/07"/>
    <s v="IEC CHA No. Job No. Job Date Port of Discharge Total Package Gross Weight (Kg) FOB(INR) Total Cess (INR) Drawback STR Total (DBK+STR) CIN NO. CIN DT. Reward Flag_x000a_0504077171  AKOPK7974PCH001  7906837  07 DEC 2017 12:12  LKCMB  2100  105210  2177520  0  0  0  0  N.A.  N.A.  Click here to view item wise reward details "/>
    <s v="Current Que LEO Date EP Copy Print Status DBK Scroll No Scroll Date EGM Integration Status_x000a_HIST  08 DEC 2017 00:12  Y  N.A.  N.A.  Y "/>
    <s v="EGM No. EGM Date Container No. Seal No. Error Message_x000a_R367181212  2017-12-12 0.0.0.0  NYKU9856126  004590  N.A. "/>
    <s v="ROSL Availed Amount(INR) Scroll Number Scroll Date_x000a_NULL  NULL  NULL  NULL "/>
    <x v="306"/>
    <s v="AWB No. Gateway Port Gateway EGM No. Gateway EGM Date Gateway Site ID Error Code_x000a_N.A.  INPAV1  140083  2017-12-05 00:00:00.0  INPAV1  S "/>
    <x v="1"/>
    <x v="97"/>
  </r>
  <r>
    <x v="0"/>
    <n v="1411047"/>
    <s v="2017/12/07"/>
    <s v="IEC CHA No. Job No. Job Date Port of Discharge Total Package Gross Weight (Kg) FOB(INR) Total Cess (INR) Drawback STR Total (DBK+STR) CIN NO. CIN DT. Reward Flag_x000a_0504077171  AKOPK7974PCH001  7932802  07 DEC 2017 12:12  LKCMB  2100  105210  2177520  0  0  0  0  N.A.  N.A.  Click here to view item wise reward details "/>
    <s v="Current Que LEO Date EP Copy Print Status DBK Scroll No Scroll Date EGM Integration Status_x000a_HIST  11 DEC 2017 00:12  Y  N.A.  N.A.  Y "/>
    <s v="EGM No. EGM Date Container No. Seal No. Error Message_x000a_R367181212  2017-12-12 0.0.0.0  DFSU2493229  004598  N.A. "/>
    <s v="ROSL Availed Amount(INR) Scroll Number Scroll Date_x000a_NULL  NULL  NULL  NULL "/>
    <x v="307"/>
    <s v="AWB No. Gateway Port Gateway EGM No. Gateway EGM Date Gateway Site ID Error Code_x000a_N.A.  INPAV1  140083  2017-12-05 00:00:00.0  INPAV1  S "/>
    <x v="1"/>
    <x v="0"/>
  </r>
  <r>
    <x v="0"/>
    <n v="1466520"/>
    <s v="2017/12/11"/>
    <s v="IEC CHA No. Job No. Job Date Port of Discharge Total Package Gross Weight (Kg) FOB(INR) Total Cess (INR) Drawback STR Total (DBK+STR) CIN NO. CIN DT. Reward Flag_x000a_0501016481  AABCT4959MCH001  7991212  11 DEC 2017 12:12  ESBCN  29  505  918586.89  0  1744  0  1744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DFSU6923539  414871  N.A. "/>
    <s v="ROSL Availed Amount(INR) Scroll Number Scroll Date_x000a_N  0  ROSL NOT CLAIMED  ROSL NOT CLAIMED "/>
    <x v="308"/>
    <s v="AWB No. Gateway Port Gateway EGM No. Gateway EGM Date Gateway Site ID Error Code_x000a_N.A.  INNSA1  140677  2017-12-14 00:00:00.0  INNSA1  S "/>
    <x v="0"/>
    <x v="0"/>
  </r>
  <r>
    <x v="0"/>
    <n v="1468626"/>
    <s v="2017/12/11"/>
    <s v="IEC CHA No. Job No. Job Date Port of Discharge Total Package Gross Weight (Kg) FOB(INR) Total Cess (INR) Drawback STR Total (DBK+STR) CIN NO. CIN DT. Reward Flag_x000a_0514025026  ARPPK3328RCH001  7993460  11 DEC 2017 12:12  BDCGP  10  344  63700  0  1274  0  1274  N.A.  N.A.  Click here to view item wise reward details "/>
    <s v="Current Que LEO Date EP Copy Print Status DBK Scroll No Scroll Date EGM Integration Status_x000a_HIST  13 DEC 2017 00:12  Y  23237/2017  29 DEC 2017 00:12  Y "/>
    <s v="EGM No. EGM Date Container No. Seal No. Error Message_x000a_T587862312  2017-12-23 0.0.0.0  HDMU6838625  414844  N.A. "/>
    <s v="ROSL Availed Amount(INR) Scroll Number Scroll Date_x000a_N  0  ROSL NOT CLAIMED  ROSL NOT CLAIMED "/>
    <x v="309"/>
    <s v="AWB No. Gateway Port Gateway EGM No. Gateway EGM Date Gateway Site ID Error Code_x000a_N.A.  INNSA1  140365  2017-12-08 00:00:00.0  INNSA1  N "/>
    <x v="0"/>
    <x v="0"/>
  </r>
  <r>
    <x v="0"/>
    <n v="1469621"/>
    <s v="2017/12/11"/>
    <s v="IEC CHA No. Job No. Job Date Port of Discharge Total Package Gross Weight (Kg) FOB(INR) Total Cess (INR) Drawback STR Total (DBK+STR) CIN NO. CIN DT. Reward Flag_x000a_0598059113  AASPK9028QCH001  7994500  11 DEC 2017 12:12  AEJEA  845  10250  1384583.2  0  27692  0  27692  N.A.  N.A.  Click here to view item wise reward details "/>
    <s v="Current Que LEO Date EP Copy Print Status DBK Scroll No Scroll Date EGM Integration Status_x000a_HIST  15 DEC 2017 00:12  Y  23143/2017  22 DEC 2017 00:12  Y "/>
    <s v="EGM No. EGM Date Container No. Seal No. Error Message_x000a_T437141912  2017-12-19 0.0.0.0  HDMU2556351  414180  N.A. "/>
    <s v="ROSL Availed Amount(INR) Scroll Number Scroll Date_x000a_N  0  ROSL NOT CLAIMED  ROSL NOT CLAIMED "/>
    <x v="310"/>
    <s v="AWB No. Gateway Port Gateway EGM No. Gateway EGM Date Gateway Site ID Error Code_x000a_N.A.  INMUN1  141077  2017-12-21 00:00:00.0  INMUN1  S "/>
    <x v="0"/>
    <x v="0"/>
  </r>
  <r>
    <x v="0"/>
    <n v="1471253"/>
    <s v="2017/12/11"/>
    <s v="IEC CHA No. Job No. Job Date Port of Discharge Total Package Gross Weight (Kg) FOB(INR) Total Cess (INR) Drawback STR Total (DBK+STR) CIN NO. CIN DT. Reward Flag_x000a_0500050139  AACFL6638BCH001  7996260  11 DEC 2017 12:12  USSVQ  837  3013  1225222.36  0  0  0  0  N.A.  N.A.  Click here to view item wise reward details "/>
    <s v="Current Que LEO Date EP Copy Print Status DBK Scroll No Scroll Date EGM Integration Status_x000a_HIST  13 DEC 2017 00:12  Y  N.A.  N.A.  Y "/>
    <s v="EGM No. EGM Date Container No. Seal No. Error Message_x000a_R707601512  2017-12-15 0.0.0.0  MSKU2961609  413471  N.A. "/>
    <s v="ROSL Availed Amount(INR) Scroll Number Scroll Date_x000a_NULL  NULL  NULL  NULL "/>
    <x v="311"/>
    <s v="AWB No. Gateway Port Gateway EGM No. Gateway EGM Date Gateway Site ID Error Code_x000a_N.A.  INPAV1  139966  2017-12-04 00:00:00.0  INPAV1  S "/>
    <x v="1"/>
    <x v="0"/>
  </r>
  <r>
    <x v="0"/>
    <n v="1474614"/>
    <s v="2017/12/11"/>
    <s v="IEC CHA No. Job No. Job Date Port of Discharge Total Package Gross Weight (Kg) FOB(INR) Total Cess (INR) Drawback STR Total (DBK+STR) CIN NO. CIN DT. Reward Flag_x000a_0593033043  AACFT3186ACH001  7999808  11 DEC 2017 12:12  MUPLU  78  1541  372527.7  0  0  0  0  N.A.  N.A.  Click here to view item wise reward details "/>
    <s v="Current Que LEO Date EP Copy Print Status DBK Scroll No Scroll Date EGM Integration Status_x000a_HIST  15 DEC 2017 00:12  Y  N.A.  N.A.  Y "/>
    <s v="EGM No. EGM Date Container No. Seal No. Error Message_x000a_T1007642212  2017-12-22 0.0.0.0  TEMU2032450  414817  N.A. "/>
    <s v="ROSL Availed Amount(INR) Scroll Number Scroll Date_x000a_NULL  NULL  NULL  NULL "/>
    <x v="312"/>
    <s v="AWB No. Gateway Port Gateway EGM No. Gateway EGM Date Gateway Site ID Error Code_x000a_N.A.  INMUN1  141426  2017-12-27 00:00:00.0  INMUN1  S "/>
    <x v="1"/>
    <x v="0"/>
  </r>
  <r>
    <x v="0"/>
    <n v="1486982"/>
    <s v="2017/12/12"/>
    <s v="IEC CHA No. Job No. Job Date Port of Discharge Total Package Gross Weight (Kg) FOB(INR) Total Cess (INR) Drawback STR Total (DBK+STR) CIN NO. CIN DT. Reward Flag_x000a_0504077171  AKOPK7974PCH001  8012908  12 DEC 2017 12:12  LKCMB  2100  105210  2685592  0  0  0  0  N.A.  N.A.  Click here to view item wise reward details "/>
    <s v="Current Que LEO Date EP Copy Print Status DBK Scroll No Scroll Date EGM Integration Status_x000a_HIST  14 DEC 2017 00:12  Y  N.A.  N.A.  Y "/>
    <s v="EGM No. EGM Date Container No. Seal No. Error Message_x000a_R1577902412  2017-12-24 0.0.0.0  CNSU2048548  004601  N.A. "/>
    <s v="ROSL Availed Amount(INR) Scroll Number Scroll Date_x000a_NULL  NULL  NULL  NULL "/>
    <x v="313"/>
    <s v="AWB No. Gateway Port Gateway EGM No. Gateway EGM Date Gateway Site ID Error Code_x000a_N.A.  INPAV1  140831  2017-12-18 00:00:00.0  INPAV1  S "/>
    <x v="1"/>
    <x v="0"/>
  </r>
  <r>
    <x v="0"/>
    <n v="1487575"/>
    <s v="2017/12/12"/>
    <s v="IEC CHA No. Job No. Job Date Port of Discharge Total Package Gross Weight (Kg) FOB(INR) Total Cess (INR) Drawback STR Total (DBK+STR) CIN NO. CIN DT. Reward Flag_x000a_0595008844  ADFFS3281FCH001  8013530  12 DEC 2017 12:12  AEJEA  467  7322.56  1608475.96  0  24127  0  24127  N.A.  N.A.  Click here to view item wise reward details "/>
    <s v="Current Que LEO Date EP Copy Print Status DBK Scroll No Scroll Date EGM Integration Status_x000a_HIST  13 DEC 2017 00:12  Y  23835/2018  15 FEB 2018 00:02  Y "/>
    <s v="EGM No. EGM Date Container No. Seal No. Error Message_x000a_R817941712  2017-12-17 0.0.0.0  HJMU1409260  413957  N.A. "/>
    <s v="ROSL Availed Amount(INR) Scroll Number Scroll Date_x000a_N  0  ROSL NOT CLAIMED  ROSL NOT CLAIMED "/>
    <x v="314"/>
    <s v="AWB No. Gateway Port Gateway EGM No. Gateway EGM Date Gateway Site ID Error Code_x000a_N.A.  INMUN1  140930  2017-12-19 00:00:00.0  INMUN1  S "/>
    <x v="0"/>
    <x v="0"/>
  </r>
  <r>
    <x v="0"/>
    <n v="1487979"/>
    <s v="2017/12/12"/>
    <s v="IEC CHA No. Job No. Job Date Port of Discharge Total Package Gross Weight (Kg) FOB(INR) Total Cess (INR) Drawback STR Total (DBK+STR) CIN NO. CIN DT. Reward Flag_x000a_0505075172  AACCP0287DCH001  8013940  12 DEC 2017 12:12  BDCGP  1  206  1039584  0  20792  0  20792  N.A.  N.A.  Click here to view item wise reward details "/>
    <s v="Current Que LEO Date EP Copy Print Status DBK Scroll No Scroll Date EGM Integration Status_x000a_HIST  19 DEC 2017 00:12  Y  23237/2017  29 DEC 2017 00:12  Y "/>
    <s v="EGM No. EGM Date Container No. Seal No. Error Message_x000a_T587862312  2017-12-23 0.0.0.0  HDMU6838625  414844  N.A. "/>
    <s v="ROSL Availed Amount(INR) Scroll Number Scroll Date_x000a_N  0  ROSL NOT CLAIMED  ROSL NOT CLAIMED "/>
    <x v="315"/>
    <s v="AWB No. Gateway Port Gateway EGM No. Gateway EGM Date Gateway Site ID Error Code_x000a_N.A.  INNSA1  140365  2017-12-08 00:00:00.0  INNSA1  N "/>
    <x v="0"/>
    <x v="98"/>
  </r>
  <r>
    <x v="0"/>
    <n v="1509191"/>
    <s v="2017/12/13"/>
    <s v="IEC CHA No. Job No. Job Date Port of Discharge Total Package Gross Weight (Kg) FOB(INR) Total Cess (INR) Drawback STR Total (DBK+STR) CIN NO. CIN DT. Reward Flag_x000a_0515934062  FHMPS1058ECH001  8036399  13 DEC 2017 12:12  FRLEH  281  5718  4318672.85  0  64483  0  64483  N.A.  N.A.  Click here to view item wise reward details "/>
    <s v="Current Que LEO Date EP Copy Print Status DBK Scroll No Scroll Date EGM Integration Status_x000a_HIST  15 DEC 2017 00:12  Y  24082/2018  28 FEB 2018 00:02  Y "/>
    <s v="EGM No. EGM Date Container No. Seal No. Error Message_x000a_TX227101812  2017-12-18 0.0.0.0  CRSU1134340  414192  N.A. "/>
    <s v="ROSL Availed Amount(INR) Scroll Number Scroll Date_x000a_N  0  ROSL NOT CLAIMED  ROSL NOT CLAIMED "/>
    <x v="316"/>
    <s v="Please Wait...."/>
    <x v="0"/>
    <x v="99"/>
  </r>
  <r>
    <x v="0"/>
    <n v="1512374"/>
    <s v="2017/12/13"/>
    <s v="IEC CHA No. Job No. Job Date Port of Discharge Total Package Gross Weight (Kg) FOB(INR) Total Cess (INR) Drawback STR Total (DBK+STR) CIN NO. CIN DT. Reward Flag_x000a_0508028078  AAECB3928MCH001  8039774  13 DEC 2017 12:12  FRFOS  5  880  574997.7  0  11500  0  11500  N.A.  N.A.  Click here to view item wise reward details "/>
    <s v="Current Que LEO Date EP Copy Print Status DBK Scroll No Scroll Date EGM Integration Status_x000a_HIST  14 DEC 2017 00:12  Y  23143/2017  22 DEC 2017 00:12  Y "/>
    <s v="EGM No. EGM Date Container No. Seal No. Error Message_x000a_R637981712  2017-12-17 0.0.0.0  SLSU6170854  414243  N.A. "/>
    <s v="ROSL Availed Amount(INR) Scroll Number Scroll Date_x000a_N  0  ROSL NOT CLAIMED  ROSL NOT CLAIMED "/>
    <x v="317"/>
    <s v="AWB No. Gateway Port Gateway EGM No. Gateway EGM Date Gateway Site ID Error Code_x000a_N.A.  INNSA1  140677  2017-12-14 00:00:00.0  INNSA1  S "/>
    <x v="0"/>
    <x v="0"/>
  </r>
  <r>
    <x v="0"/>
    <n v="1521533"/>
    <s v="2017/12/13"/>
    <s v="IEC CHA No. Job No. Job Date Port of Discharge Total Package Gross Weight (Kg) FOB(INR) Total Cess (INR) Drawback STR Total (DBK+STR) CIN NO. CIN DT. Reward Flag_x000a_0504011057  AFBPM9459DCH001  8049444  13 DEC 2017 12:12  TJDYU  1410  20200  4751183.62  0  71268  0  71268  N.A.  N.A.  Click here to view item wise reward details "/>
    <s v="Current Que LEO Date EP Copy Print Status DBK Scroll No Scroll Date EGM Integration Status_x000a_HIST  15 DEC 2017 00:12  Y  23143/2017  22 DEC 2017 00:12  Y "/>
    <s v="EGM No. EGM Date Container No. Seal No. Error Message_x000a_TX227101812  2017-12-18 0.0.0.0  GRMU4200556  414416  N.A. "/>
    <s v="ROSL Availed Amount(INR) Scroll Number Scroll Date_x000a_N  0  ROSL NOT CLAIMED  ROSL NOT CLAIMED "/>
    <x v="318"/>
    <s v="AWB No. Gateway Port Gateway EGM No. Gateway EGM Date Gateway Site ID Error Code_x000a_N.A.  INMUN1  140931  2017-12-19 00:00:00.0  INMUN1  S "/>
    <x v="0"/>
    <x v="0"/>
  </r>
  <r>
    <x v="0"/>
    <n v="1523411"/>
    <s v="2017/12/13"/>
    <s v="IEC CHA No. Job No. Job Date Port of Discharge Total Package Gross Weight (Kg) FOB(INR) Total Cess (INR) Drawback STR Total (DBK+STR) CIN NO. CIN DT. Reward Flag_x000a_1306014115  AAAFA8105CCH001  8051412  13 DEC 2017 12:12  GNCKY  1528  16576  3502863  0  70057  0  70057  N.A.  N.A.  Click here to view item wise reward details "/>
    <s v="Current Que LEO Date EP Copy Print Status DBK Scroll No Scroll Date EGM Integration Status_x000a_HIST  16 DEC 2017 00:12  Y  23143/2017  22 DEC 2017 00:12  Y "/>
    <s v="EGM No. EGM Date Container No. Seal No. Error Message_x000a_R817941712  2017-12-17 0.0.0.0  MRKU8243150  000244  N.A. "/>
    <s v="ROSL Availed Amount(INR) Scroll Number Scroll Date_x000a_N  0  ROSL NOT CLAIMED  ROSL NOT CLAIMED "/>
    <x v="319"/>
    <s v="AWB No. Gateway Port Gateway EGM No. Gateway EGM Date Gateway Site ID Error Code_x000a_N.A.  INMUN1  N.A.  N.A.  N.A.  N.A. "/>
    <x v="0"/>
    <x v="100"/>
  </r>
  <r>
    <x v="0"/>
    <n v="1546285"/>
    <s v="2017/12/14"/>
    <s v="IEC CHA No. Job No. Job Date Port of Discharge Total Package Gross Weight (Kg) FOB(INR) Total Cess (INR) Drawback STR Total (DBK+STR) CIN NO. CIN DT. Reward Flag_x000a_3104003254  AAACA3307KCH003  8075620  14 DEC 2017 12:12  USSTL  1  190  195653  0  3913  0  3913  N.A.  N.A.  Click here to view item wise reward details "/>
    <s v="Current Que LEO Date EP Copy Print Status DBK Scroll No Scroll Date EGM Integration Status_x000a_HIST  19 DEC 2017 00:12  Y  23237/2017  29 DEC 2017 00:12  Y "/>
    <s v="EGM No. EGM Date Container No. Seal No. Error Message_x000a_T1007642212  2017-12-22 0.0.0.0  DRYU9457048  414824  N.A. "/>
    <s v="ROSL Availed Amount(INR) Scroll Number Scroll Date_x000a_N  0  ROSL NOT CLAIMED  ROSL NOT CLAIMED "/>
    <x v="320"/>
    <s v="AWB No. Gateway Port Gateway EGM No. Gateway EGM Date Gateway Site ID Error Code_x000a_N.A.  INMUN1  141045  2017-12-20 00:00:00.0  INMUN1  S "/>
    <x v="0"/>
    <x v="0"/>
  </r>
  <r>
    <x v="0"/>
    <n v="1547350"/>
    <s v="2017/12/14"/>
    <s v="IEC CHA No. Job No. Job Date Port of Discharge Total Package Gross Weight (Kg) FOB(INR) Total Cess (INR) Drawback STR Total (DBK+STR) CIN NO. CIN DT. Reward Flag_x000a_0504077171  AKOPK7974PCH001  8076740  14 DEC 2017 12:12  LKCMB  2100  105210  2150512  0  0  0  0  N.A.  N.A.  Click here to view item wise reward details "/>
    <s v="Current Que LEO Date EP Copy Print Status DBK Scroll No Scroll Date EGM Integration Status_x000a_HIST  18 DEC 2017 00:12  Y  N.A.  N.A.  Y "/>
    <s v="EGM No. EGM Date Container No. Seal No. Error Message_x000a_R567382012  2017-12-20 0.0.0.0  NYKU3824353  413896  N.A. "/>
    <s v="ROSL Availed Amount(INR) Scroll Number Scroll Date_x000a_NULL  NULL  NULL  NULL "/>
    <x v="321"/>
    <s v="AWB No. Gateway Port Gateway EGM No. Gateway EGM Date Gateway Site ID Error Code_x000a_N.A.  INPAV1  140831  2017-12-18 00:00:00.0  INPAV1  S "/>
    <x v="1"/>
    <x v="0"/>
  </r>
  <r>
    <x v="0"/>
    <n v="1551135"/>
    <s v="2017/12/14"/>
    <s v="IEC CHA No. Job No. Job Date Port of Discharge Total Package Gross Weight (Kg) FOB(INR) Total Cess (INR) Drawback STR Total (DBK+STR) CIN NO. CIN DT. Reward Flag_x000a_0500050139  AACFL6638BCH001  8080739  14 DEC 2017 12:12  KRBUS  1271  9104  2559455.81  0  0  0  0  N.A.  N.A.  Click here to view item wise reward details "/>
    <s v="Current Que LEO Date EP Copy Print Status DBK Scroll No Scroll Date EGM Integration Status_x000a_HIST  15 DEC 2017 00:12  Y  N.A.  N.A.  Y "/>
    <s v="EGM No. EGM Date Container No. Seal No. Error Message_x000a_R27741512  2017-12-15 0.0.0.0  OOLU9658411  413874  N.A. "/>
    <s v="ROSL Availed Amount(INR) Scroll Number Scroll Date_x000a_NULL  NULL  NULL  NULL "/>
    <x v="322"/>
    <s v="AWB No. Gateway Port Gateway EGM No. Gateway EGM Date Gateway Site ID Error Code_x000a_N.A.  INNSA1  138758  2017-11-14 00:00:00.0  INNSA1  S "/>
    <x v="1"/>
    <x v="0"/>
  </r>
  <r>
    <x v="0"/>
    <n v="1566061"/>
    <s v="2017/12/15"/>
    <s v="IEC CHA No. Job No. Job Date Port of Discharge Total Package Gross Weight (Kg) FOB(INR) Total Cess (INR) Drawback STR Total (DBK+STR) CIN NO. CIN DT. Reward Flag_x000a_0713000201  AADCA0273BCH001  8096438  15 DEC 2017 12:12  USNWK  207  3254.2  652493.11  0  0  0  0  N.A.  N.A.  Click here to view item wise reward details "/>
    <s v="Current Que LEO Date EP Copy Print Status DBK Scroll No Scroll Date EGM Integration Status_x000a_HIST  19 DEC 2017 00:12  Y  N.A.  N.A.  Y "/>
    <s v="EGM No. EGM Date Container No. Seal No. Error Message_x000a_T587862312  2017-12-23 0.0.0.0  TGHU5214511  414880  N.A. "/>
    <s v="ROSL Availed Amount(INR) Scroll Number Scroll Date_x000a_NULL  NULL  NULL  NULL "/>
    <x v="323"/>
    <s v="Please Wait...."/>
    <x v="1"/>
    <x v="0"/>
  </r>
  <r>
    <x v="0"/>
    <n v="1568268"/>
    <s v="2017/12/15"/>
    <s v="IEC CHA No. Job No. Job Date Port of Discharge Total Package Gross Weight (Kg) FOB(INR) Total Cess (INR) Drawback STR Total (DBK+STR) CIN NO. CIN DT. Reward Flag_x000a_0589053850  AVAPS6694RCH001  8098741  15 DEC 2017 12:12  AEJEA  6  3418  379053.22  0  7581  0  7581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INLU2203114  414865  N.A. "/>
    <s v="ROSL Availed Amount(INR) Scroll Number Scroll Date_x000a_N  0  ROSL NOT CLAIMED  ROSL NOT CLAIMED "/>
    <x v="324"/>
    <s v="AWB No. Gateway Port Gateway EGM No. Gateway EGM Date Gateway Site ID Error Code_x000a_N.A.  INNSA1  140487  2017-12-12 00:00:00.0  INNSA1  S "/>
    <x v="0"/>
    <x v="0"/>
  </r>
  <r>
    <x v="0"/>
    <n v="1579668"/>
    <s v="2017/12/15"/>
    <s v="IEC CHA No. Job No. Job Date Port of Discharge Total Package Gross Weight (Kg) FOB(INR) Total Cess (INR) Drawback STR Total (DBK+STR) CIN NO. CIN DT. Reward Flag_x000a_0516526065  AADCA0273BCH001  8110740  15 DEC 2017 12:12  USDAL  238  2224.73  374313.94  0  7096  0  7096  N.A.  N.A.  Click here to view item wise reward details "/>
    <s v="Current Que LEO Date EP Copy Print Status DBK Scroll No Scroll Date EGM Integration Status_x000a_HIST  20 DEC 2017 00:12  Y  23414/2018  12 JAN 2018 00:01  Y "/>
    <s v="EGM No. EGM Date Container No. Seal No. Error Message_x000a_R1977520401  2018-1-4 0.0.0.0  MRKU6416473  415872  N.A. "/>
    <s v="ROSL Availed Amount(INR) Scroll Number Scroll Date_x000a_N  0  ROSL NOT CLAIMED  ROSL NOT CLAIMED "/>
    <x v="325"/>
    <s v="AWB No. Gateway Port Gateway EGM No. Gateway EGM Date Gateway Site ID Error Code_x000a_N.A.  INNSA1  140586  2017-12-12 00:00:00.0  INNSA1  S "/>
    <x v="0"/>
    <x v="92"/>
  </r>
  <r>
    <x v="0"/>
    <n v="1580068"/>
    <s v="2017/12/15"/>
    <s v="IEC CHA No. Job No. Job Date Port of Discharge Total Package Gross Weight (Kg) FOB(INR) Total Cess (INR) Drawback STR Total (DBK+STR) CIN NO. CIN DT. Reward Flag_x000a_3011014116  ABSPN4101ECH001  8111183  15 DEC 2017 12:12  USDAL  74  1118  489056.75  0  7336  0  733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INKU2342576  414883  N.A. "/>
    <s v="ROSL Availed Amount(INR) Scroll Number Scroll Date_x000a_N  0  ROSL NOT CLAIMED  ROSL NOT CLAIMED "/>
    <x v="326"/>
    <s v="AWB No. Gateway Port Gateway EGM No. Gateway EGM Date Gateway Site ID Error Code_x000a_N.A.  INNSA1  140402  2017-12-11 00:00:00.0  INNSA1  S "/>
    <x v="0"/>
    <x v="0"/>
  </r>
  <r>
    <x v="0"/>
    <n v="1609603"/>
    <s v="2017/12/18"/>
    <s v="IEC CHA No. Job No. Job Date Port of Discharge Total Package Gross Weight (Kg) FOB(INR) Total Cess (INR) Drawback STR Total (DBK+STR) CIN NO. CIN DT. Reward Flag_x000a_0504077171  AKOPK7974PCH001  8143267  18 DEC 2017 12:12  LKCMB  2100  105210  2150512  0  0  0  0  N.A.  N.A.  Click here to view item wise reward details "/>
    <s v="Current Que LEO Date EP Copy Print Status DBK Scroll No Scroll Date EGM Integration Status_x000a_HIST  21 DEC 2017 00:12  Y  N.A.  N.A.  Y "/>
    <s v="EGM No. EGM Date Container No. Seal No. Error Message_x000a_R1577902412  2017-12-24 0.0.0.0  TCKU3848465  414969  N.A. "/>
    <s v="ROSL Availed Amount(INR) Scroll Number Scroll Date_x000a_NULL  NULL  NULL  NULL "/>
    <x v="327"/>
    <s v="AWB No. Gateway Port Gateway EGM No. Gateway EGM Date Gateway Site ID Error Code_x000a_N.A.  INPAV1  140831  2017-12-18 00:00:00.0  INPAV1  S "/>
    <x v="1"/>
    <x v="0"/>
  </r>
  <r>
    <x v="0"/>
    <n v="1614481"/>
    <s v="2017/12/18"/>
    <s v="IEC CHA No. Job No. Job Date Port of Discharge Total Package Gross Weight (Kg) FOB(INR) Total Cess (INR) Drawback STR Total (DBK+STR) CIN NO. CIN DT. Reward Flag_x000a_0593052561  AAJPK0196LCH001  8148460  18 DEC 2017 12:12  ITGOA  1  11.65  17784.36  0  0  0  0  N.A.  N.A.  Click here to view item wise reward details "/>
    <s v="Current Que LEO Date EP Copy Print Status DBK Scroll No Scroll Date EGM Integration Status_x000a_HIST  27 DEC 2017 00:12  Y  N.A.  N.A.  Y "/>
    <s v="EGM No. EGM Date Container No. Seal No. Error Message_x000a_T257700501  2018-1-5 0.0.0.0  FSCU8047472  415882  N.A. "/>
    <s v="ROSL Availed Amount(INR) Scroll Number Scroll Date_x000a_NULL  NULL  NULL  NULL "/>
    <x v="328"/>
    <s v="AWB No. Gateway Port Gateway EGM No. Gateway EGM Date Gateway Site ID Error Code_x000a_N.A.  INNSA1  141463  2017-12-27 00:00:00.0  INNSA1  S "/>
    <x v="1"/>
    <x v="0"/>
  </r>
  <r>
    <x v="0"/>
    <n v="1616744"/>
    <s v="2017/12/18"/>
    <s v="IEC CHA No. Job No. Job Date Port of Discharge Total Package Gross Weight (Kg) FOB(INR) Total Cess (INR) Drawback STR Total (DBK+STR) CIN NO. CIN DT. Reward Flag_x000a_0389025364  AAJCA1821BCH001  8150914  18 DEC 2017 12:12  IRBND  2  4881.8  138632.22  0  2773  0  2773  N.A.  N.A.  Click here to view item wise reward details "/>
    <s v="Current Que LEO Date EP Copy Print Status DBK Scroll No Scroll Date EGM Integration Status_x000a_HIST  23 DEC 2017 00:12  Y  23328/2018  05 JAN 2018 00:01  Y "/>
    <s v="EGM No. EGM Date Container No. Seal No. Error Message_x000a_R557963112  2017-12-31 0.0.0.0  AMFU8791180  415489  N.A. "/>
    <s v="ROSL Availed Amount(INR) Scroll Number Scroll Date_x000a_N  0  ROSL NOT CLAIMED  ROSL NOT CLAIMED "/>
    <x v="329"/>
    <s v="AWB No. Gateway Port Gateway EGM No. Gateway EGM Date Gateway Site ID Error Code_x000a_N.A.  INMUN1  141297  2017-12-26 00:00:00.0  INMUN1  S "/>
    <x v="0"/>
    <x v="0"/>
  </r>
  <r>
    <x v="0"/>
    <n v="1622551"/>
    <s v="2017/12/18"/>
    <s v="IEC CHA No. Job No. Job Date Port of Discharge Total Package Gross Weight (Kg) FOB(INR) Total Cess (INR) Drawback STR Total (DBK+STR) CIN NO. CIN DT. Reward Flag_x000a_0505000873  AOWPS6493KCH001  8157051  18 DEC 2017 12:12  MYPKG  4  3005.7  912916.55  0  18258  0  18258  N.A.  N.A.  Click here to view item wise reward details "/>
    <s v="Current Que LEO Date EP Copy Print Status DBK Scroll No Scroll Date EGM Integration Status_x000a_HIST  20 DEC 2017 00:12  Y  23237/2017  29 DEC 2017 00:12  Y "/>
    <s v="EGM No. EGM Date Container No. Seal No. Error Message_x000a_R1267142512  2017-12-25 0.0.0.0  BSIU2789699  414845  N.A. "/>
    <s v="ROSL Availed Amount(INR) Scroll Number Scroll Date_x000a_N  0  ROSL NOT CLAIMED  ROSL NOT CLAIMED "/>
    <x v="330"/>
    <s v="AWB No. Gateway Port Gateway EGM No. Gateway EGM Date Gateway Site ID Error Code_x000a_N.A.  INNSA1  141039  2017-12-20 00:00:00.0  INNSA1  S "/>
    <x v="0"/>
    <x v="0"/>
  </r>
  <r>
    <x v="0"/>
    <n v="1622558"/>
    <s v="2017/12/18"/>
    <s v="IEC CHA No. Job No. Job Date Port of Discharge Total Package Gross Weight (Kg) FOB(INR) Total Cess (INR) Drawback STR Total (DBK+STR) CIN NO. CIN DT. Reward Flag_x000a_0505000873  AOWPS6493KCH001  8157068  18 DEC 2017 12:12  MYPKG  3  1102.11  475953.66  0  9234  0  9234  N.A.  N.A.  Click here to view item wise reward details "/>
    <s v="Current Que LEO Date EP Copy Print Status DBK Scroll No Scroll Date EGM Integration Status_x000a_HIST  21 DEC 2017 00:12  Y  23237/2017  29 DEC 2017 00:12  Y "/>
    <s v="EGM No. EGM Date Container No. Seal No. Error Message_x000a_R1267142512  2017-12-25 0.0.0.0  BSIU2789699  414845  N.A. "/>
    <s v="ROSL Availed Amount(INR) Scroll Number Scroll Date_x000a_N  0  ROSL NOT CLAIMED  ROSL NOT CLAIMED "/>
    <x v="331"/>
    <s v="AWB No. Gateway Port Gateway EGM No. Gateway EGM Date Gateway Site ID Error Code_x000a_N.A.  INNSA1  141039  2017-12-20 00:00:00.0  INNSA1  S "/>
    <x v="0"/>
    <x v="101"/>
  </r>
  <r>
    <x v="0"/>
    <n v="1630870"/>
    <s v="2017/12/18"/>
    <s v="IEC CHA No. Job No. Job Date Port of Discharge Total Package Gross Weight (Kg) FOB(INR) Total Cess (INR) Drawback STR Total (DBK+STR) CIN NO. CIN DT. Reward Flag_x000a_0589036734  AEOPA9390KCH001  8165862  18 DEC 2017 12:12  DKCOP  2  482.59  527244.9  0  10526  0  1052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CRXU9950466  414877  N.A. "/>
    <s v="ROSL Availed Amount(INR) Scroll Number Scroll Date_x000a_N  0  ROSL NOT CLAIMED  ROSL NOT CLAIMED "/>
    <x v="332"/>
    <s v="AWB No. Gateway Port Gateway EGM No. Gateway EGM Date Gateway Site ID Error Code_x000a_N.A.  INNSA1  141083  2017-12-21 00:00:00.0  INNSA1  C "/>
    <x v="0"/>
    <x v="0"/>
  </r>
  <r>
    <x v="0"/>
    <n v="1657961"/>
    <s v="2017/12/19"/>
    <s v="IEC CHA No. Job No. Job Date Port of Discharge Total Package Gross Weight (Kg) FOB(INR) Total Cess (INR) Drawback STR Total (DBK+STR) CIN NO. CIN DT. Reward Flag_x000a_0500050139  AACFL6638BCH001  8194502  19 DEC 2017 12:12  JPTYO  440  4319  1115259.6  0  0  0  0  N.A.  N.A.  Click here to view item wise reward details "/>
    <s v="Current Que LEO Date EP Copy Print Status DBK Scroll No Scroll Date EGM Integration Status_x000a_HIST  20 DEC 2017 00:12  Y  N.A.  N.A.  Y "/>
    <s v="EGM No. EGM Date Container No. Seal No. Error Message_x000a_R947522112  2017-12-21 0.0.0.0  TCLU3403667  414754  N.A. "/>
    <s v="ROSL Availed Amount(INR) Scroll Number Scroll Date_x000a_NULL  NULL  NULL  NULL "/>
    <x v="333"/>
    <s v="AWB No. Gateway Port Gateway EGM No. Gateway EGM Date Gateway Site ID Error Code_x000a_N.A.  INNSA1  140724  2017-12-15 00:00:00.0  INNSA1  S "/>
    <x v="1"/>
    <x v="0"/>
  </r>
  <r>
    <x v="0"/>
    <n v="1668810"/>
    <s v="2017/12/20"/>
    <s v="IEC CHA No. Job No. Job Date Port of Discharge Total Package Gross Weight (Kg) FOB(INR) Total Cess (INR) Drawback STR Total (DBK+STR) CIN NO. CIN DT. Reward Flag_x000a_0504077171  AKOPK7974PCH001  8205883  20 DEC 2017 12:12  LKCMB  2100  105210  2150512  0  0  0  0  N.A.  N.A.  Click here to view item wise reward details "/>
    <s v="Current Que LEO Date EP Copy Print Status DBK Scroll No Scroll Date EGM Integration Status_x000a_HIST  22 DEC 2017 00:12  Y  N.A.  N.A.  Y "/>
    <s v="EGM No. EGM Date Container No. Seal No. Error Message_x000a_J247462712  2017-12-27 0.0.0.0  TCKU3164098  415087  N.A. "/>
    <s v="ROSL Availed Amount(INR) Scroll Number Scroll Date_x000a_NULL  NULL  NULL  NULL "/>
    <x v="334"/>
    <s v="AWB No. Gateway Port Gateway EGM No. Gateway EGM Date Gateway Site ID Error Code_x000a_N.A.  INPAV1  140831  2017-12-18 00:00:00.0  INPAV1  S "/>
    <x v="1"/>
    <x v="0"/>
  </r>
  <r>
    <x v="0"/>
    <n v="1670652"/>
    <s v="2017/12/20"/>
    <s v="IEC CHA No. Job No. Job Date Port of Discharge Total Package Gross Weight (Kg) FOB(INR) Total Cess (INR) Drawback STR Total (DBK+STR) CIN NO. CIN DT. Reward Flag_x000a_0513013971  AFVPB8766JCH001  8207864  20 DEC 2017 12:12  AEJEA  34  522.2  142369.5  0  3275  0  3275  N.A.  N.A.  Click here to view item wise reward details "/>
    <s v="Current Que LEO Date EP Copy Print Status DBK Scroll No Scroll Date EGM Integration Status_x000a_HIST  21 DEC 2017 00:12  Y  23328/2018  05 JAN 2018 00:01  Y "/>
    <s v="EGM No. EGM Date Container No. Seal No. Error Message_x000a_T987020101  2018-1-1 0.0.0.0  WHLU5123143  415820  N.A. "/>
    <s v="ROSL Availed Amount(INR) Scroll Number Scroll Date_x000a_N  0  ROSL NOT CLAIMED  ROSL NOT CLAIMED "/>
    <x v="335"/>
    <s v="AWB No. Gateway Port Gateway EGM No. Gateway EGM Date Gateway Site ID Error Code_x000a_N.A.  INNSA1  141344  2017-12-26 00:00:00.0  INNSA1  C "/>
    <x v="0"/>
    <x v="0"/>
  </r>
  <r>
    <x v="0"/>
    <n v="1671114"/>
    <s v="2017/12/20"/>
    <s v="IEC CHA No. Job No. Job Date Port of Discharge Total Package Gross Weight (Kg) FOB(INR) Total Cess (INR) Drawback STR Total (DBK+STR) CIN NO. CIN DT. Reward Flag_x000a_3393002155  AAACU5306LCH002  8208365  20 DEC 2017 12:12  USNYC  1  316.67  282063.6  0  1374  0  1374  N.A.  N.A.  Click here to view item wise reward details "/>
    <s v="Current Que LEO Date EP Copy Print Status DBK Scroll No Scroll Date EGM Integration Status_x000a_HIST  22 DEC 2017 00:12  Y  23328/2018  05 JAN 2018 00:01  Y "/>
    <s v="EGM No. EGM Date Container No. Seal No. Error Message_x000a_R627622812  2017-12-28 0.0.0.0  TCNU6391417  415420  N.A. "/>
    <s v="ROSL Availed Amount(INR) Scroll Number Scroll Date_x000a_N  0  ROSL NOT CLAIMED  ROSL NOT CLAIMED "/>
    <x v="336"/>
    <s v="AWB No. Gateway Port Gateway EGM No. Gateway EGM Date Gateway Site ID Error Code_x000a_N.A.  INMUN1  141756  2018-01-02 00:00:00.0  INMUN1  S "/>
    <x v="0"/>
    <x v="102"/>
  </r>
  <r>
    <x v="0"/>
    <n v="1673346"/>
    <s v="2017/12/20"/>
    <s v="IEC CHA No. Job No. Job Date Port of Discharge Total Package Gross Weight (Kg) FOB(INR) Total Cess (INR) Drawback STR Total (DBK+STR) CIN NO. CIN DT. Reward Flag_x000a_0510006329  AEAPD9155RCH001  8210702  20 DEC 2017 12:12  LKCMB  15  631.4  99754.2  0  0  0  0  N.A.  N.A.  Click here to view item wise reward details "/>
    <s v="Current Que LEO Date EP Copy Print Status DBK Scroll No Scroll Date EGM Integration Status_x000a_HIST  21 DEC 2017 00:12  Y  N.A.  N.A.  Y "/>
    <s v="EGM No. EGM Date Container No. Seal No. Error Message_x000a_T587862312  2017-12-23 0.0.0.0  HDMU6838625  414844  N.A. "/>
    <s v="ROSL Availed Amount(INR) Scroll Number Scroll Date_x000a_NULL  NULL  NULL  NULL "/>
    <x v="337"/>
    <s v="AWB No. Gateway Port Gateway EGM No. Gateway EGM Date Gateway Site ID Error Code_x000a_N.A.  INNSA1  140365  2017-12-08 00:00:00.0  INNSA1  N "/>
    <x v="1"/>
    <x v="103"/>
  </r>
  <r>
    <x v="0"/>
    <n v="1682294"/>
    <s v="2017/12/20"/>
    <s v="IEC CHA No. Job No. Job Date Port of Discharge Total Package Gross Weight (Kg) FOB(INR) Total Cess (INR) Drawback STR Total (DBK+STR) CIN NO. CIN DT. Reward Flag_x000a_0507018591  AAJCA1821BCH001  8220180  20 DEC 2017 12:12  CNSHA  115  1500  504504  0  7166  0  7166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CLU3881619  415438  N.A. "/>
    <s v="ROSL Availed Amount(INR) Scroll Number Scroll Date_x000a_N  0  ROSL NOT CLAIMED  ROSL NOT CLAIMED "/>
    <x v="338"/>
    <s v="AWB No. Gateway Port Gateway EGM No. Gateway EGM Date Gateway Site ID Error Code_x000a_N.A.  INNSA1  141116  2017-12-21 00:00:00.0  INNSA1  S "/>
    <x v="0"/>
    <x v="0"/>
  </r>
  <r>
    <x v="0"/>
    <n v="1694312"/>
    <s v="2017/12/21"/>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2 DEC 2017 00:12  Y  N.A.  N.A.  Y "/>
    <s v="EGM No. EGM Date Container No. Seal No. Error Message_x000a_T1007642212  2017-12-22 0.0.0.0  RFCU2268528  LYNK00542782  N.A. "/>
    <s v="ROSL Availed Amount(INR) Scroll Number Scroll Date_x000a_NULL  NULL  NULL  NULL "/>
    <x v="339"/>
    <s v="AWB No. Gateway Port Gateway EGM No. Gateway EGM Date Gateway Site ID Error Code_x000a_N.A.  INMUN1  140648  2017-12-13 00:00:00.0  INMUN1  S "/>
    <x v="1"/>
    <x v="0"/>
  </r>
  <r>
    <x v="0"/>
    <n v="1696466"/>
    <s v="2017/12/21"/>
    <s v="IEC CHA No. Job No. Job Date Port of Discharge Total Package Gross Weight (Kg) FOB(INR) Total Cess (INR) Drawback STR Total (DBK+STR) CIN NO. CIN DT. Reward Flag_x000a_0504077171  AKOPK7974PCH001  8235036  21 DEC 2017 12:12  LKCMB  2100  105210  2150512  0  0  0  0  N.A.  N.A.  Click here to view item wise reward details "/>
    <s v="Current Que LEO Date EP Copy Print Status DBK Scroll No Scroll Date EGM Integration Status_x000a_HIST  26 DEC 2017 00:12  Y  N.A.  N.A.  Y "/>
    <s v="EGM No. EGM Date Container No. Seal No. Error Message_x000a_J247462712  2017-12-27 0.0.0.0  CAIU3885876  414651  N.A. "/>
    <s v="ROSL Availed Amount(INR) Scroll Number Scroll Date_x000a_NULL  NULL  NULL  NULL "/>
    <x v="340"/>
    <s v="AWB No. Gateway Port Gateway EGM No. Gateway EGM Date Gateway Site ID Error Code_x000a_N.A.  INPAV1  140831  2017-12-18 00:00:00.0  INPAV1  S "/>
    <x v="1"/>
    <x v="0"/>
  </r>
  <r>
    <x v="0"/>
    <n v="1705753"/>
    <s v="2017/12/21"/>
    <s v="IEC CHA No. Job No. Job Date Port of Discharge Total Package Gross Weight (Kg) FOB(INR) Total Cess (INR) Drawback STR Total (DBK+STR) CIN NO. CIN DT. Reward Flag_x000a_0595012647  AAACC6689ECH001  8244778  21 DEC 2017 12:12  PKKHI  2755  47663  7558071.89  0  113371  0  113371  N.A.  N.A.  Click here to view item wise reward details "/>
    <s v="Current Que LEO Date EP Copy Print Status DBK Scroll No Scroll Date EGM Integration Status_x000a_HIST  26 DEC 2017 00:12  Y  23328/2018  05 JAN 2018 00:01  Y "/>
    <s v="EGM No. EGM Date Container No. Seal No. Error Message_x000a_Z17883012  2017-12-30 0.0.0.0  CRSU9314842  001894  N.A. "/>
    <s v="ROSL Availed Amount(INR) Scroll Number Scroll Date_x000a_N  0  ROSL NOT CLAIMED  ROSL NOT CLAIMED "/>
    <x v="341"/>
    <s v="AWB No. Gateway Port Gateway EGM No. Gateway EGM Date Gateway Site ID Error Code_x000a_N.A.  INMUN1  141078  2017-12-21 00:00:00.0  INMUN1  S "/>
    <x v="0"/>
    <x v="0"/>
  </r>
  <r>
    <x v="0"/>
    <n v="1718128"/>
    <s v="2017/12/22"/>
    <s v="IEC CHA No. Job No. Job Date Port of Discharge Total Package Gross Weight (Kg) FOB(INR) Total Cess (INR) Drawback STR Total (DBK+STR) CIN NO. CIN DT. Reward Flag_x000a_0589036734  AEOPA9390KCH001  8257770  22 DEC 2017 12:12  DKCOP  2  510.43  533837.76  0  10677  0  10677  N.A.  N.A.  Click here to view item wise reward details "/>
    <s v="Current Que LEO Date EP Copy Print Status DBK Scroll No Scroll Date EGM Integration Status_x000a_HIST  23 DEC 2017 00:12  Y  23328/2018  05 JAN 2018 00:01  Y "/>
    <s v="EGM No. EGM Date Container No. Seal No. Error Message_x000a_R987702912  2017-12-29 0.0.0.0  HASU4458235  415458  N.A. "/>
    <s v="ROSL Availed Amount(INR) Scroll Number Scroll Date_x000a_N  0  ROSL NOT CLAIMED  ROSL NOT CLAIMED "/>
    <x v="342"/>
    <s v="AWB No. Gateway Port Gateway EGM No. Gateway EGM Date Gateway Site ID Error Code_x000a_N.A.  INMUN1  141502  2017-12-27 00:00:00.0  INMUN1  S "/>
    <x v="0"/>
    <x v="104"/>
  </r>
  <r>
    <x v="0"/>
    <n v="1719344"/>
    <s v="2017/12/22"/>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7 DEC 2017 00:12  Y  N.A.  N.A.  Y "/>
    <s v="EGM No. EGM Date Container No. Seal No. Error Message_x000a_R827422712  2017-12-27 0.0.0.0  TCKU3346030  LYNK00542784  N.A. "/>
    <s v="ROSL Availed Amount(INR) Scroll Number Scroll Date_x000a_NULL  NULL  NULL  NULL "/>
    <x v="343"/>
    <s v="AWB No. Gateway Port Gateway EGM No. Gateway EGM Date Gateway Site ID Error Code_x000a_N.A.  INMUN1  141142  2017-12-21 00:00:00.0  INMUN1  S "/>
    <x v="1"/>
    <x v="0"/>
  </r>
  <r>
    <x v="0"/>
    <n v="1729499"/>
    <s v="2017/12/22"/>
    <s v="IEC CHA No. Job No. Job Date Port of Discharge Total Package Gross Weight (Kg) FOB(INR) Total Cess (INR) Drawback STR Total (DBK+STR) CIN NO. CIN DT. Reward Flag_x000a_0503010316  AHDPK8975CCH001  8269759  22 DEC 2017 12:12  AEJEA  14  6261  2955037.34  0  44326  0  44326  N.A.  N.A.  Click here to view item wise reward details "/>
    <s v="Current Que LEO Date EP Copy Print Status DBK Scroll No Scroll Date EGM Integration Status_x000a_HIST  28 DEC 2017 00:12  Y  24432/2018  25 MAR 2018 00:03  Y "/>
    <s v="EGM No. EGM Date Container No. Seal No. Error Message_x000a_Z17883012  2017-12-30 0.0.0.0  HDMU2472219  415642  N.A. "/>
    <s v="ROSL Availed Amount(INR) Scroll Number Scroll Date_x000a_N  0  ROSL NOT CLAIMED  ROSL NOT CLAIMED "/>
    <x v="344"/>
    <s v="AWB No. Gateway Port Gateway EGM No. Gateway EGM Date Gateway Site ID Error Code_x000a_N.A.  INMUN1  141855  2018-01-03 00:00:00.0  INMUN1  S "/>
    <x v="0"/>
    <x v="0"/>
  </r>
  <r>
    <x v="0"/>
    <n v="1752198"/>
    <s v="2017/12/23"/>
    <s v="IEC CHA No. Job No. Job Date Port of Discharge Total Package Gross Weight (Kg) FOB(INR) Total Cess (INR) Drawback STR Total (DBK+STR) CIN NO. CIN DT. Reward Flag_x000a_0511006519  AAEFP2740ECH001  8293657  23 DEC 2017 12:12  ZAJNB  791  14631.06  3149801.42  0  62856  0  62856  N.A.  N.A.  Click here to view item wise reward details "/>
    <s v="Current Que LEO Date EP Copy Print Status DBK Scroll No Scroll Date EGM Integration Status_x000a_HIST  27 DEC 2017 00:12  Y  23328/2018  05 JAN 2018 00:01  Y "/>
    <s v="EGM No. EGM Date Container No. Seal No. Error Message_x000a_R827422712  2017-12-27 0.0.0.0  PONU0253154  LYNK00564451  N.A. "/>
    <s v="ROSL Availed Amount(INR) Scroll Number Scroll Date_x000a_N  0  ROSL NOT CLAIMED  ROSL NOT CLAIMED "/>
    <x v="345"/>
    <s v="AWB No. Gateway Port Gateway EGM No. Gateway EGM Date Gateway Site ID Error Code_x000a_N.A.  INMUN1  141901  2018-01-03 00:00:00.0  INMUN1  S "/>
    <x v="0"/>
    <x v="105"/>
  </r>
  <r>
    <x v="0"/>
    <n v="1773410"/>
    <s v="2017/12/26"/>
    <s v="IEC CHA No. Job No. Job Date Port of Discharge Total Package Gross Weight (Kg) FOB(INR) Total Cess (INR) Drawback STR Total (DBK+STR) CIN NO. CIN DT. Reward Flag_x000a_0504077171  AKOPK7974PCH001  8315926  26 DEC 2017 12:12  LKCMB  2100  105210  2133632  0  0  0  0  N.A.  N.A.  Click here to view item wise reward details "/>
    <s v="Current Que LEO Date EP Copy Print Status DBK Scroll No Scroll Date EGM Integration Status_x000a_HIST  28 DEC 2017 00:12  Y  N.A.  N.A.  Y "/>
    <s v="EGM No. EGM Date Container No. Seal No. Error Message_x000a_J477923112  2017-12-31 0.0.0.0  DFSU1161364  GEID00000171  N.A. "/>
    <s v="ROSL Availed Amount(INR) Scroll Number Scroll Date_x000a_NULL  NULL  NULL  NULL "/>
    <x v="346"/>
    <s v="AWB No. Gateway Port Gateway EGM No. Gateway EGM Date Gateway Site ID Error Code_x000a_N.A.  INMUN1  142133  2018-01-08 00:00:00.0  INMUN1  S "/>
    <x v="1"/>
    <x v="0"/>
  </r>
  <r>
    <x v="0"/>
    <n v="1773615"/>
    <s v="2017/12/26"/>
    <s v="IEC CHA No. Job No. Job Date Port of Discharge Total Package Gross Weight (Kg) FOB(INR) Total Cess (INR) Drawback STR Total (DBK+STR) CIN NO. CIN DT. Reward Flag_x000a_0500068241  AADFT2787LCH001  8316108  26 DEC 2017 12:12  TWKEL  34  1135  2392120  0  35882  0  35882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RLU7452102  415457  N.A. "/>
    <s v="ROSL Availed Amount(INR) Scroll Number Scroll Date_x000a_N  0  ROSL NOT CLAIMED  ROSL NOT CLAIMED "/>
    <x v="347"/>
    <s v="AWB No. Gateway Port Gateway EGM No. Gateway EGM Date Gateway Site ID Error Code_x000a_N.A.  INNSA1  141039  2017-12-20 00:00:00.0  INNSA1  S "/>
    <x v="0"/>
    <x v="106"/>
  </r>
  <r>
    <x v="0"/>
    <n v="1779449"/>
    <s v="2017/12/26"/>
    <s v="IEC CHA No. Job No. Job Date Port of Discharge Total Package Gross Weight (Kg) FOB(INR) Total Cess (INR) Drawback STR Total (DBK+STR) CIN NO. CIN DT. Reward Flag_x000a_0595012647  AAACC6689ECH001  8322216  26 DEC 2017 12:12  PKKHI  1185  16223  14360970  0  215415  0  215415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806945  416065  N.A. "/>
    <s v="ROSL Availed Amount(INR) Scroll Number Scroll Date_x000a_N  0  ROSL NOT CLAIMED  ROSL NOT CLAIMED "/>
    <x v="348"/>
    <s v="AWB No. Gateway Port Gateway EGM No. Gateway EGM Date Gateway Site ID Error Code_x000a_N.A.  INMUN1  141230  2017-12-22 00:00:00.0  INMUN1  S "/>
    <x v="0"/>
    <x v="0"/>
  </r>
  <r>
    <x v="0"/>
    <n v="1780079"/>
    <s v="2017/12/26"/>
    <s v="IEC CHA No. Job No. Job Date Port of Discharge Total Package Gross Weight (Kg) FOB(INR) Total Cess (INR) Drawback STR Total (DBK+STR) CIN NO. CIN DT. Reward Flag_x000a_0589036734  AEOPA9390KCH001  8322916  26 DEC 2017 12:12  DKCOP  2  387.02  431681.28  0  8634  0  8634  N.A.  N.A.  Click here to view item wise reward details "/>
    <s v="Current Que LEO Date EP Copy Print Status DBK Scroll No Scroll Date EGM Integration Status_x000a_HIST  27 DEC 2017 00:12  Y  23328/2018  05 JAN 2018 00:01  Y "/>
    <s v="EGM No. EGM Date Container No. Seal No. Error Message_x000a_R987702912  2017-12-29 0.0.0.0  HASU4458235  415458  N.A. "/>
    <s v="ROSL Availed Amount(INR) Scroll Number Scroll Date_x000a_N  0  ROSL NOT CLAIMED  ROSL NOT CLAIMED "/>
    <x v="349"/>
    <s v="AWB No. Gateway Port Gateway EGM No. Gateway EGM Date Gateway Site ID Error Code_x000a_N.A.  INMUN1  141502  2017-12-27 00:00:00.0  INMUN1  S "/>
    <x v="0"/>
    <x v="0"/>
  </r>
  <r>
    <x v="0"/>
    <n v="1787183"/>
    <s v="2017/12/26"/>
    <s v="IEC CHA No. Job No. Job Date Port of Discharge Total Package Gross Weight (Kg) FOB(INR) Total Cess (INR) Drawback STR Total (DBK+STR) CIN NO. CIN DT. Reward Flag_x000a_0513039759  AKMPA9089KCH001  8330316  26 DEC 2017 12:12  IRBND  349  7500  1312284.8  0  19684  0  19684  N.A.  N.A.  Click here to view item wise reward details "/>
    <s v="Current Que LEO Date EP Copy Print Status DBK Scroll No Scroll Date EGM Integration Status_x000a_HIST  28 DEC 2017 00:12  Y  23414/2018  12 JAN 2018 00:01  Y "/>
    <s v="EGM No. EGM Date Container No. Seal No. Error Message_x000a_R1577680501  2018-1-5 0.0.0.0  TCNU9903836  416467  N.A. "/>
    <s v="ROSL Availed Amount(INR) Scroll Number Scroll Date_x000a_N  0  ROSL NOT CLAIMED  ROSL NOT CLAIMED "/>
    <x v="350"/>
    <s v="AWB No. Gateway Port Gateway EGM No. Gateway EGM Date Gateway Site ID Error Code_x000a_N.A.  INMUN1  141297  2017-12-26 00:00:00.0  INMUN1  S "/>
    <x v="0"/>
    <x v="0"/>
  </r>
  <r>
    <x v="0"/>
    <n v="1789517"/>
    <s v="2017/12/26"/>
    <s v="IEC CHA No. Job No. Job Date Port of Discharge Total Package Gross Weight (Kg) FOB(INR) Total Cess (INR) Drawback STR Total (DBK+STR) CIN NO. CIN DT. Reward Flag_x000a_0503019321  AXAPK5104ECH001  8332795  26 DEC 2017 12:12  LKCMB  74  8894.8  1963168.33  0  35337  0  35337  N.A.  N.A.  Click here to view item wise reward details "/>
    <s v="Current Que LEO Date EP Copy Print Status DBK Scroll No Scroll Date EGM Integration Status_x000a_HIST  29 DEC 2017 00:12  Y  24432/2018  25 MAR 2018 00:03  Y "/>
    <s v="EGM No. EGM Date Container No. Seal No. Error Message_x000a_J187200201  2018-1-2 0.0.0.0  TRHU1718645  415796  N.A. "/>
    <s v="ROSL Availed Amount(INR) Scroll Number Scroll Date_x000a_N  0  ROSL NOT CLAIMED  ROSL NOT CLAIMED "/>
    <x v="351"/>
    <s v="AWB No. Gateway Port Gateway EGM No. Gateway EGM Date Gateway Site ID Error Code_x000a_N.A.  INNSA1  N.A.  N.A.  N.A.  N.A. "/>
    <x v="0"/>
    <x v="0"/>
  </r>
  <r>
    <x v="0"/>
    <n v="1808535"/>
    <s v="2017/12/27"/>
    <s v="IEC CHA No. Job No. Job Date Port of Discharge Total Package Gross Weight (Kg) FOB(INR) Total Cess (INR) Drawback STR Total (DBK+STR) CIN NO. CIN DT. Reward Flag_x000a_0504077171  AKOPK7974PCH001  8352771  27 DEC 2017 12:12  LKCMB  2100  105210  2133632  0  0  0  0  N.A.  N.A.  Click here to view item wise reward details "/>
    <s v="Current Que LEO Date EP Copy Print Status DBK Scroll No Scroll Date EGM Integration Status_x000a_HIST  29 DEC 2017 00:12  Y  N.A.  N.A.  Y "/>
    <s v="EGM No. EGM Date Container No. Seal No. Error Message_x000a_J477923112  2017-12-31 0.0.0.0  CAIU2296399  GEID00000177  N.A. "/>
    <s v="ROSL Availed Amount(INR) Scroll Number Scroll Date_x000a_NULL  NULL  NULL  NULL "/>
    <x v="352"/>
    <s v="AWB No. Gateway Port Gateway EGM No. Gateway EGM Date Gateway Site ID Error Code_x000a_N.A.  INMUN1  142133  2018-01-08 00:00:00.0  INMUN1  S "/>
    <x v="1"/>
    <x v="0"/>
  </r>
  <r>
    <x v="0"/>
    <n v="1809398"/>
    <s v="2017/12/27"/>
    <s v="IEC CHA No. Job No. Job Date Port of Discharge Total Package Gross Weight (Kg) FOB(INR) Total Cess (INR) Drawback STR Total (DBK+STR) CIN NO. CIN DT. Reward Flag_x000a_0509025765  AFFPC6074GCH001  8353709  27 DEC 2017 12:12  MUPLU  58  1500  725799  0  0  0  0  N.A.  N.A.  Click here to view item wise reward details "/>
    <s v="Current Que LEO Date EP Copy Print Status DBK Scroll No Scroll Date EGM Integration Status_x000a_HIST  28 DEC 2017 00:12  Y  N.A.  N.A.  Y "/>
    <s v="EGM No. EGM Date Container No. Seal No. Error Message_x000a_T987020101  2018-1-1 0.0.0.0  HJCU1719711  415025  N.A. "/>
    <s v="ROSL Availed Amount(INR) Scroll Number Scroll Date_x000a_NULL  NULL  NULL  NULL "/>
    <x v="353"/>
    <s v="AWB No. Gateway Port Gateway EGM No. Gateway EGM Date Gateway Site ID Error Code_x000a_N.A.  INNSA1  141394  2017-12-26 00:00:00.0  INNSA1  S "/>
    <x v="1"/>
    <x v="0"/>
  </r>
  <r>
    <x v="0"/>
    <n v="1811286"/>
    <s v="2017/12/27"/>
    <s v="IEC CHA No. Job No. Job Date Port of Discharge Total Package Gross Weight (Kg) FOB(INR) Total Cess (INR) Drawback STR Total (DBK+STR) CIN NO. CIN DT. Reward Flag_x000a_1210001128  AACCA3147PCH001  8355698  27 DEC 2017 12:12  VNHPH  12  412.3  237283.4  0  6407  0  6407  N.A.  N.A.  Click here to view item wise reward details "/>
    <s v="Current Que LEO Date EP Copy Print Status DBK Scroll No Scroll Date EGM Integration Status_x000a_HIST  03 JAN 2018 00:01  Y  23481/2018  18 JAN 2018 00:01  Y "/>
    <s v="EGM No. EGM Date Container No. Seal No. Error Message_x000a_T437021401  2018-1-14 0.0.0.0  TEMU0782559  417070  N.A. "/>
    <s v="ROSL Availed Amount(INR) Scroll Number Scroll Date_x000a_N  0  ROSL NOT CLAIMED  ROSL NOT CLAIMED "/>
    <x v="354"/>
    <s v="AWB No. Gateway Port Gateway EGM No. Gateway EGM Date Gateway Site ID Error Code_x000a_N.A.  INMUN1  143166  2018-01-23 00:00:00.0  INMUN1  S "/>
    <x v="0"/>
    <x v="0"/>
  </r>
  <r>
    <x v="0"/>
    <n v="1817413"/>
    <s v="2017/12/27"/>
    <s v="IEC CHA No. Job No. Job Date Port of Discharge Total Package Gross Weight (Kg) FOB(INR) Total Cess (INR) Drawback STR Total (DBK+STR) CIN NO. CIN DT. Reward Flag_x000a_0595012647  AAACC6689ECH001  8362130  27 DEC 2017 12:12  PKKHI  1457  24031  4832083.66  0  72481  0  72481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785903  001898  N.A. "/>
    <s v="ROSL Availed Amount(INR) Scroll Number Scroll Date_x000a_N  0  ROSL NOT CLAIMED  ROSL NOT CLAIMED "/>
    <x v="355"/>
    <s v="AWB No. Gateway Port Gateway EGM No. Gateway EGM Date Gateway Site ID Error Code_x000a_N.A.  INMUN1  141230  2017-12-22 00:00:00.0  INMUN1  S "/>
    <x v="0"/>
    <x v="0"/>
  </r>
  <r>
    <x v="0"/>
    <n v="1817472"/>
    <s v="2017/12/27"/>
    <s v="IEC CHA No. Job No. Job Date Port of Discharge Total Package Gross Weight (Kg) FOB(INR) Total Cess (INR) Drawback STR Total (DBK+STR) CIN NO. CIN DT. Reward Flag_x000a_0595012647  AAACC6689ECH001  8362200  27 DEC 2017 12:12  PKKHI  2652  48008  11120240.98  0  166804  0  166804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TCNU7193524  001896  N.A. "/>
    <s v="ROSL Availed Amount(INR) Scroll Number Scroll Date_x000a_N  0  ROSL NOT CLAIMED  ROSL NOT CLAIMED "/>
    <x v="356"/>
    <s v="AWB No. Gateway Port Gateway EGM No. Gateway EGM Date Gateway Site ID Error Code_x000a_N.A.  INMUN1  141230  2017-12-22 00:00:00.0  INMUN1  S "/>
    <x v="0"/>
    <x v="0"/>
  </r>
  <r>
    <x v="0"/>
    <n v="1838515"/>
    <s v="2017/12/28"/>
    <s v="IEC CHA No. Job No. Job Date Port of Discharge Total Package Gross Weight (Kg) FOB(INR) Total Cess (INR) Drawback STR Total (DBK+STR) CIN NO. CIN DT. Reward Flag_x000a_0504077171  AKOPK7974PCH001  8384285  28 DEC 2017 12:12  LKCMB  2100  105210  2133632  0  0  0  0  N.A.  N.A.  Click here to view item wise reward details "/>
    <s v="Current Que LEO Date EP Copy Print Status DBK Scroll No Scroll Date EGM Integration Status_x000a_HIST  01 JAN 2018 00:01  Y  N.A.  N.A.  Y "/>
    <s v="EGM No. EGM Date Container No. Seal No. Error Message_x000a_TX207260201  2018-1-2 0.0.0.0  HDMU2596246  GEID00000181  N.A. "/>
    <s v="ROSL Availed Amount(INR) Scroll Number Scroll Date_x000a_NULL  NULL  NULL  NULL "/>
    <x v="357"/>
    <s v="AWB No. Gateway Port Gateway EGM No. Gateway EGM Date Gateway Site ID Error Code_x000a_N.A.  INMUN1  142479  2018-01-12 00:00:00.0  INMUN1  S "/>
    <x v="1"/>
    <x v="0"/>
  </r>
  <r>
    <x v="0"/>
    <n v="1852350"/>
    <s v="2017/12/28"/>
    <s v="IEC CHA No. Job No. Job Date Port of Discharge Total Package Gross Weight (Kg) FOB(INR) Total Cess (INR) Drawback STR Total (DBK+STR) CIN NO. CIN DT. Reward Flag_x000a_0500050139  AACFL6638BCH001  8398812  28 DEC 2017 12:12  BJCOO  612  21217  6059616  0  0  0  0  N.A.  N.A.  Click here to view item wise reward details "/>
    <s v="Current Que LEO Date EP Copy Print Status DBK Scroll No Scroll Date EGM Integration Status_x000a_HIST  29 DEC 2017 00:12  Y  N.A.  N.A.  Y "/>
    <s v="EGM No. EGM Date Container No. Seal No. Error Message_x000a_J477923112  2017-12-31 0.0.0.0  MSKU2326584  415287  N.A. "/>
    <s v="ROSL Availed Amount(INR) Scroll Number Scroll Date_x000a_NULL  NULL  NULL  NULL "/>
    <x v="358"/>
    <s v="AWB No. Gateway Port Gateway EGM No. Gateway EGM Date Gateway Site ID Error Code_x000a_N.A.  INMUN1  141264  2017-12-23 00:00:00.0  INMUN1  S "/>
    <x v="1"/>
    <x v="0"/>
  </r>
  <r>
    <x v="0"/>
    <n v="1865148"/>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287920701  2018-1-7 0.0.0.0  BAXU5062245  416534  N.A. "/>
    <s v="ROSL Availed Amount(INR) Scroll Number Scroll Date_x000a_NULL  NULL  NULL  NULL "/>
    <x v="359"/>
    <s v="AWB No. Gateway Port Gateway EGM No. Gateway EGM Date Gateway Site ID Error Code_x000a_N.A.  INNSA1  142173  2018-01-08 00:00:00.0  INNSA1  S "/>
    <x v="1"/>
    <x v="0"/>
  </r>
  <r>
    <x v="0"/>
    <n v="1865329"/>
    <s v="2017/12/29"/>
    <s v="IEC CHA No. Job No. Job Date Port of Discharge Total Package Gross Weight (Kg) FOB(INR) Total Cess (INR) Drawback STR Total (DBK+STR) CIN NO. CIN DT. Reward Flag_x000a_0504077171  AKOPK7974PCH001  8412479  29 DEC 2017 12:12  LKCMB  2100  105210  2664512  0  0  0  0  N.A.  N.A.  Click here to view item wise reward details "/>
    <s v="Current Que LEO Date EP Copy Print Status DBK Scroll No Scroll Date EGM Integration Status_x000a_HIST  02 JAN 2018 00:01  Y  N.A.  N.A.  Y "/>
    <s v="EGM No. EGM Date Container No. Seal No. Error Message_x000a_R937340301  2018-1-3 0.0.0.0  TCLU3282230  GEID00000186  N.A. "/>
    <s v="ROSL Availed Amount(INR) Scroll Number Scroll Date_x000a_NULL  NULL  NULL  NULL "/>
    <x v="360"/>
    <s v="AWB No. Gateway Port Gateway EGM No. Gateway EGM Date Gateway Site ID Error Code_x000a_N.A.  INPAV1  141634  2017-12-29 00:00:00.0  INPAV1  S "/>
    <x v="1"/>
    <x v="0"/>
  </r>
  <r>
    <x v="0"/>
    <n v="1866627"/>
    <s v="2017/12/29"/>
    <s v="IEC CHA No. Job No. Job Date Port of Discharge Total Package Gross Weight (Kg) FOB(INR) Total Cess (INR) Drawback STR Total (DBK+STR) CIN NO. CIN DT. Reward Flag_x000a_0589036734  AEOPA9390KCH001  8413784  29 DEC 2017 12:12  DKCOP  2  507.76  467680  0  9354  0  9354  N.A.  N.A.  Click here to view item wise reward details "/>
    <s v="Current Que LEO Date EP Copy Print Status DBK Scroll No Scroll Date EGM Integration Status_x000a_HIST  30 DEC 2017 00:12  Y  24432/2018  25 MAR 2018 00:03  Y "/>
    <s v="EGM No. EGM Date Container No. Seal No. Error Message_x000a_T897341001  2018-1-10 0.0.0.0  HLXU8630693  416587  N.A. "/>
    <s v="ROSL Availed Amount(INR) Scroll Number Scroll Date_x000a_N  0  ROSL NOT CLAIMED  ROSL NOT CLAIMED "/>
    <x v="361"/>
    <s v="AWB No. Gateway Port Gateway EGM No. Gateway EGM Date Gateway Site ID Error Code_x000a_N.A.  INMUN1  141770  2018-01-02 00:00:00.0  INMUN1  S "/>
    <x v="0"/>
    <x v="0"/>
  </r>
  <r>
    <x v="0"/>
    <n v="1868552"/>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1977520401  2018-1-4 0.0.0.0  TRLU7451153  415871  N.A. "/>
    <s v="ROSL Availed Amount(INR) Scroll Number Scroll Date_x000a_NULL  NULL  NULL  NULL "/>
    <x v="362"/>
    <s v="AWB No. Gateway Port Gateway EGM No. Gateway EGM Date Gateway Site ID Error Code_x000a_N.A.  INNSA1  141170  2017-12-22 00:00:00.0  INNSA1  S "/>
    <x v="1"/>
    <x v="0"/>
  </r>
  <r>
    <x v="0"/>
    <n v="1899578"/>
    <s v="2017/12/30"/>
    <s v="IEC CHA No. Job No. Job Date Port of Discharge Total Package Gross Weight (Kg) FOB(INR) Total Cess (INR) Drawback STR Total (DBK+STR) CIN NO. CIN DT. Reward Flag_x000a_0588128180  ADFFS3281FCH001  8448407  30 DEC 2017 12:12  NZAKL  22  490  93220  0  0  0  0  N.A.  N.A.  Click here to view item wise reward details "/>
    <s v="Current Que LEO Date EP Copy Print Status DBK Scroll No Scroll Date EGM Integration Status_x000a_HIST  05 JAN 2018 00:01  Y  N.A.  N.A.  Y "/>
    <s v="EGM No. EGM Date Container No. Seal No. Error Message_x000a_T437021401  2018-1-14 0.0.0.0  TEMU0782559  417070  N.A. "/>
    <s v="ROSL Availed Amount(INR) Scroll Number Scroll Date_x000a_NULL  NULL  NULL  NULL "/>
    <x v="363"/>
    <s v="AWB No. Gateway Port Gateway EGM No. Gateway EGM Date Gateway Site ID Error Code_x000a_N.A.  INMUN1  143166  2018-01-23 00:00:00.0  INMUN1  S "/>
    <x v="1"/>
    <x v="0"/>
  </r>
  <r>
    <x v="0"/>
    <n v="1900474"/>
    <s v="2017/12/30"/>
    <s v="IEC CHA No. Job No. Job Date Port of Discharge Total Package Gross Weight (Kg) FOB(INR) Total Cess (INR) Drawback STR Total (DBK+STR) CIN NO. CIN DT. Reward Flag_x000a_AGEPB3375R  AHDPK8975CCH001  8449353  30 DEC 2017 12:12  AEJEA  3  481  85446.4  0  1709  0  1709  N.A.  N.A.  Click here to view item wise reward details "/>
    <s v="Current Que LEO Date EP Copy Print Status DBK Scroll No Scroll Date EGM Integration Status_x000a_HIST  04 JAN 2018 00:01  Y  23414/2018  12 JAN 2018 00:01  Y "/>
    <s v="EGM No. EGM Date Container No. Seal No. Error Message_x000a_R1177860601  2018-1-6 0.0.0.0  CRSU1073564  416539  N.A. "/>
    <s v="ROSL Availed Amount(INR) Scroll Number Scroll Date_x000a_N  0  ROSL NOT CLAIMED  ROSL NOT CLAIMED "/>
    <x v="364"/>
    <s v="AWB No. Gateway Port Gateway EGM No. Gateway EGM Date Gateway Site ID Error Code_x000a_N.A.  INMUN1  142204  2018-01-09 00:00:00.0  INMUN1  S "/>
    <x v="0"/>
    <x v="0"/>
  </r>
  <r>
    <x v="0"/>
    <n v="1904114"/>
    <s v="2017/12/30"/>
    <s v="IEC CHA No. Job No. Job Date Port of Discharge Total Package Gross Weight (Kg) FOB(INR) Total Cess (INR) Drawback STR Total (DBK+STR) CIN NO. CIN DT. Reward Flag_x000a_0595012647  AAACC6689ECH001  8453171  30 DEC 2017 12:12  PKKHI  1369  20982  5534737.47  0  83021  0  83021  N.A.  N.A.  Click here to view item wise reward details "/>
    <s v="Current Que LEO Date EP Copy Print Status DBK Scroll No Scroll Date EGM Integration Status_x000a_HIST  05 JAN 2018 00:01  Y  23414/2018  12 JAN 2018 00:01  Y "/>
    <s v="EGM No. EGM Date Container No. Seal No. Error Message_x000a_R127160801  2018-1-8 0.0.0.0  DFSU7698896  001899  N.A. "/>
    <s v="ROSL Availed Amount(INR) Scroll Number Scroll Date_x000a_N  0  ROSL NOT CLAIMED  ROSL NOT CLAIMED "/>
    <x v="365"/>
    <s v="AWB No. Gateway Port Gateway EGM No. Gateway EGM Date Gateway Site ID Error Code_x000a_N.A.  INMUN1  141231  2017-12-22 00:00:00.0  INMUN1  S "/>
    <x v="0"/>
    <x v="0"/>
  </r>
  <r>
    <x v="0"/>
    <n v="1905542"/>
    <s v="2017/12/30"/>
    <s v="IEC CHA No. Job No. Job Date Port of Discharge Total Package Gross Weight (Kg) FOB(INR) Total Cess (INR) Drawback STR Total (DBK+STR) CIN NO. CIN DT. Reward Flag_x000a_0595012647  AAACC6689ECH001  8454665  30 DEC 2017 12:12  PKKHI  950  11875  4250832  0  63762  0  63762  N.A.  N.A.  Click here to view item wise reward details "/>
    <s v="Current Que LEO Date EP Copy Print Status DBK Scroll No Scroll Date EGM Integration Status_x000a_HIST  06 JAN 2018 00:01  Y  23643/2018  31 JAN 2018 00:01  Y "/>
    <s v="EGM No. EGM Date Container No. Seal No. Error Message_x000a_R557701201  2018-1-12 0.0.0.0  BMOU6247406  416849  N.A. "/>
    <s v="ROSL Availed Amount(INR) Scroll Number Scroll Date_x000a_N  0  ROSL NOT CLAIMED  ROSL NOT CLAIMED "/>
    <x v="366"/>
    <s v="AWB No. Gateway Port Gateway EGM No. Gateway EGM Date Gateway Site ID Error Code_x000a_N.A.  INMUN1  141231  2017-12-22 00:00:00.0  INMUN1  S "/>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68E9D-9B59-453E-B46D-D4990A227EA0}" name="PivotTable5" cacheId="16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5:J260" firstHeaderRow="1" firstDataRow="2" firstDataCol="2"/>
  <pivotFields count="10">
    <pivotField axis="axisRow"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53">
        <item x="1"/>
        <item x="67"/>
        <item x="4"/>
        <item x="75"/>
        <item x="27"/>
        <item x="30"/>
        <item x="28"/>
        <item x="56"/>
        <item x="47"/>
        <item x="19"/>
        <item x="44"/>
        <item x="32"/>
        <item x="5"/>
        <item x="52"/>
        <item x="37"/>
        <item x="35"/>
        <item x="53"/>
        <item x="98"/>
        <item x="114"/>
        <item x="65"/>
        <item x="55"/>
        <item x="10"/>
        <item x="77"/>
        <item x="38"/>
        <item x="62"/>
        <item x="61"/>
        <item x="71"/>
        <item x="99"/>
        <item x="66"/>
        <item x="116"/>
        <item x="123"/>
        <item x="58"/>
        <item x="83"/>
        <item x="79"/>
        <item x="89"/>
        <item x="87"/>
        <item x="104"/>
        <item x="96"/>
        <item x="112"/>
        <item x="125"/>
        <item x="105"/>
        <item x="108"/>
        <item x="127"/>
        <item x="120"/>
        <item x="134"/>
        <item x="144"/>
        <item x="76"/>
        <item x="29"/>
        <item x="147"/>
        <item x="118"/>
        <item x="145"/>
        <item x="167"/>
        <item x="148"/>
        <item x="0"/>
        <item x="195"/>
        <item x="165"/>
        <item x="197"/>
        <item x="173"/>
        <item x="135"/>
        <item x="198"/>
        <item x="172"/>
        <item x="205"/>
        <item x="176"/>
        <item x="156"/>
        <item x="175"/>
        <item x="182"/>
        <item x="185"/>
        <item x="117"/>
        <item x="188"/>
        <item x="199"/>
        <item x="211"/>
        <item x="60"/>
        <item x="133"/>
        <item x="186"/>
        <item x="164"/>
        <item x="234"/>
        <item x="210"/>
        <item x="179"/>
        <item x="202"/>
        <item x="220"/>
        <item x="221"/>
        <item x="192"/>
        <item x="216"/>
        <item x="235"/>
        <item x="237"/>
        <item x="241"/>
        <item x="251"/>
        <item x="168"/>
        <item x="245"/>
        <item x="227"/>
        <item x="218"/>
        <item x="236"/>
        <item x="232"/>
        <item x="248"/>
        <item x="238"/>
        <item x="239"/>
        <item x="240"/>
        <item x="250"/>
        <item x="244"/>
        <item x="243"/>
        <item x="102"/>
        <item x="169"/>
        <item x="24"/>
        <item x="34"/>
        <item x="6"/>
        <item x="3"/>
        <item x="8"/>
        <item x="25"/>
        <item x="9"/>
        <item x="20"/>
        <item x="7"/>
        <item x="17"/>
        <item x="16"/>
        <item x="14"/>
        <item x="31"/>
        <item x="22"/>
        <item x="40"/>
        <item x="11"/>
        <item x="21"/>
        <item x="36"/>
        <item x="18"/>
        <item x="43"/>
        <item x="68"/>
        <item x="54"/>
        <item x="48"/>
        <item x="49"/>
        <item x="42"/>
        <item x="57"/>
        <item x="78"/>
        <item x="51"/>
        <item x="45"/>
        <item x="82"/>
        <item x="74"/>
        <item x="85"/>
        <item x="115"/>
        <item x="46"/>
        <item x="90"/>
        <item x="106"/>
        <item x="94"/>
        <item x="84"/>
        <item x="88"/>
        <item x="93"/>
        <item x="95"/>
        <item x="81"/>
        <item x="92"/>
        <item x="126"/>
        <item x="130"/>
        <item x="91"/>
        <item x="86"/>
        <item x="113"/>
        <item x="103"/>
        <item x="100"/>
        <item x="69"/>
        <item x="101"/>
        <item x="111"/>
        <item x="110"/>
        <item x="124"/>
        <item x="129"/>
        <item x="138"/>
        <item x="109"/>
        <item x="139"/>
        <item x="119"/>
        <item x="128"/>
        <item x="140"/>
        <item x="107"/>
        <item x="121"/>
        <item x="131"/>
        <item x="141"/>
        <item x="146"/>
        <item x="137"/>
        <item x="122"/>
        <item x="132"/>
        <item x="149"/>
        <item x="136"/>
        <item x="73"/>
        <item x="157"/>
        <item x="166"/>
        <item x="158"/>
        <item x="152"/>
        <item x="170"/>
        <item x="178"/>
        <item x="155"/>
        <item x="159"/>
        <item x="162"/>
        <item x="153"/>
        <item x="142"/>
        <item x="154"/>
        <item x="207"/>
        <item x="193"/>
        <item x="150"/>
        <item x="160"/>
        <item x="184"/>
        <item x="181"/>
        <item x="171"/>
        <item x="161"/>
        <item x="222"/>
        <item x="163"/>
        <item x="183"/>
        <item x="177"/>
        <item x="187"/>
        <item x="189"/>
        <item x="190"/>
        <item x="191"/>
        <item x="194"/>
        <item x="200"/>
        <item x="209"/>
        <item x="206"/>
        <item x="204"/>
        <item x="203"/>
        <item x="215"/>
        <item x="225"/>
        <item x="208"/>
        <item x="223"/>
        <item x="224"/>
        <item x="214"/>
        <item x="230"/>
        <item x="212"/>
        <item x="228"/>
        <item x="229"/>
        <item x="233"/>
        <item x="249"/>
        <item x="231"/>
        <item x="242"/>
        <item x="226"/>
        <item x="246"/>
        <item x="13"/>
        <item x="2"/>
        <item x="50"/>
        <item x="23"/>
        <item x="15"/>
        <item x="41"/>
        <item x="63"/>
        <item x="39"/>
        <item x="26"/>
        <item x="80"/>
        <item x="97"/>
        <item x="64"/>
        <item x="59"/>
        <item x="70"/>
        <item x="72"/>
        <item x="143"/>
        <item x="174"/>
        <item x="180"/>
        <item x="151"/>
        <item x="196"/>
        <item x="201"/>
        <item x="217"/>
        <item x="213"/>
        <item x="219"/>
        <item x="247"/>
        <item x="33"/>
        <item x="12"/>
        <item t="default"/>
      </items>
    </pivotField>
    <pivotField axis="axisCol" dataField="1" compact="0" outline="0" showAll="0">
      <items count="4">
        <item x="2"/>
        <item x="1"/>
        <item x="0"/>
        <item t="default"/>
      </items>
    </pivotField>
  </pivotFields>
  <rowFields count="2">
    <field x="0"/>
    <field x="8"/>
  </rowFields>
  <rowItems count="254">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t="default">
      <x/>
    </i>
    <i t="grand">
      <x/>
    </i>
  </rowItems>
  <colFields count="1">
    <field x="9"/>
  </colFields>
  <colItems count="4">
    <i>
      <x/>
    </i>
    <i>
      <x v="1"/>
    </i>
    <i>
      <x v="2"/>
    </i>
    <i t="grand">
      <x/>
    </i>
  </colItems>
  <dataFields count="1">
    <dataField name="Count of Clainmed and Not Claimed for ROS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6C096A-8E02-4896-A254-87EF8E3584E5}" name="PivotTable6" cacheId="16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F736" firstHeaderRow="1" firstDataRow="1" firstDataCol="2"/>
  <pivotFields count="11">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368">
        <item x="332"/>
        <item x="342"/>
        <item x="349"/>
        <item x="361"/>
        <item x="283"/>
        <item x="326"/>
        <item x="263"/>
        <item x="299"/>
        <item x="46"/>
        <item x="242"/>
        <item x="354"/>
        <item x="139"/>
        <item x="169"/>
        <item x="297"/>
        <item x="158"/>
        <item x="188"/>
        <item x="34"/>
        <item x="303"/>
        <item x="306"/>
        <item x="307"/>
        <item x="313"/>
        <item x="321"/>
        <item x="327"/>
        <item x="334"/>
        <item x="340"/>
        <item x="346"/>
        <item x="352"/>
        <item x="357"/>
        <item x="360"/>
        <item x="204"/>
        <item x="155"/>
        <item x="243"/>
        <item x="88"/>
        <item x="0"/>
        <item x="1"/>
        <item x="282"/>
        <item x="336"/>
        <item x="244"/>
        <item x="232"/>
        <item x="317"/>
        <item x="151"/>
        <item x="269"/>
        <item x="219"/>
        <item x="85"/>
        <item x="239"/>
        <item x="300"/>
        <item x="277"/>
        <item x="314"/>
        <item x="214"/>
        <item x="225"/>
        <item x="102"/>
        <item x="130"/>
        <item x="230"/>
        <item x="32"/>
        <item x="38"/>
        <item x="112"/>
        <item x="272"/>
        <item x="77"/>
        <item x="49"/>
        <item x="259"/>
        <item x="258"/>
        <item x="268"/>
        <item x="159"/>
        <item x="344"/>
        <item x="184"/>
        <item x="185"/>
        <item x="19"/>
        <item x="4"/>
        <item x="10"/>
        <item x="9"/>
        <item x="8"/>
        <item x="171"/>
        <item x="109"/>
        <item x="7"/>
        <item x="132"/>
        <item x="86"/>
        <item x="3"/>
        <item x="43"/>
        <item x="337"/>
        <item x="338"/>
        <item x="83"/>
        <item x="234"/>
        <item x="13"/>
        <item x="209"/>
        <item x="315"/>
        <item x="231"/>
        <item x="240"/>
        <item x="177"/>
        <item x="176"/>
        <item x="167"/>
        <item x="12"/>
        <item x="65"/>
        <item x="107"/>
        <item x="287"/>
        <item x="286"/>
        <item x="6"/>
        <item x="293"/>
        <item x="292"/>
        <item x="295"/>
        <item x="296"/>
        <item x="212"/>
        <item x="73"/>
        <item x="143"/>
        <item x="192"/>
        <item x="324"/>
        <item x="78"/>
        <item x="215"/>
        <item x="138"/>
        <item x="345"/>
        <item x="246"/>
        <item x="278"/>
        <item x="254"/>
        <item x="280"/>
        <item x="279"/>
        <item x="183"/>
        <item x="14"/>
        <item x="120"/>
        <item x="198"/>
        <item x="79"/>
        <item x="80"/>
        <item x="364"/>
        <item x="74"/>
        <item x="48"/>
        <item x="233"/>
        <item x="140"/>
        <item x="30"/>
        <item x="50"/>
        <item x="55"/>
        <item x="275"/>
        <item x="145"/>
        <item x="165"/>
        <item x="52"/>
        <item x="270"/>
        <item x="97"/>
        <item x="99"/>
        <item x="98"/>
        <item x="125"/>
        <item x="103"/>
        <item x="27"/>
        <item x="265"/>
        <item x="36"/>
        <item x="69"/>
        <item x="200"/>
        <item x="67"/>
        <item x="335"/>
        <item x="129"/>
        <item x="146"/>
        <item x="205"/>
        <item x="92"/>
        <item x="175"/>
        <item x="114"/>
        <item x="81"/>
        <item x="82"/>
        <item x="154"/>
        <item x="173"/>
        <item x="193"/>
        <item x="194"/>
        <item x="341"/>
        <item x="348"/>
        <item x="356"/>
        <item x="366"/>
        <item x="355"/>
        <item x="365"/>
        <item x="87"/>
        <item x="123"/>
        <item x="216"/>
        <item x="264"/>
        <item x="298"/>
        <item x="330"/>
        <item x="331"/>
        <item x="312"/>
        <item x="90"/>
        <item x="47"/>
        <item x="149"/>
        <item x="271"/>
        <item x="100"/>
        <item x="153"/>
        <item x="152"/>
        <item x="250"/>
        <item x="54"/>
        <item x="118"/>
        <item x="126"/>
        <item x="267"/>
        <item x="16"/>
        <item x="163"/>
        <item x="255"/>
        <item x="273"/>
        <item x="318"/>
        <item x="33"/>
        <item x="59"/>
        <item x="220"/>
        <item x="75"/>
        <item x="121"/>
        <item x="237"/>
        <item x="238"/>
        <item x="251"/>
        <item x="44"/>
        <item x="20"/>
        <item x="308"/>
        <item x="301"/>
        <item x="157"/>
        <item x="309"/>
        <item x="305"/>
        <item x="311"/>
        <item x="322"/>
        <item x="333"/>
        <item x="358"/>
        <item x="289"/>
        <item x="63"/>
        <item x="104"/>
        <item x="40"/>
        <item x="72"/>
        <item x="42"/>
        <item x="62"/>
        <item x="245"/>
        <item x="252"/>
        <item x="291"/>
        <item x="51"/>
        <item x="178"/>
        <item x="39"/>
        <item x="281"/>
        <item x="111"/>
        <item x="294"/>
        <item x="203"/>
        <item x="302"/>
        <item x="363"/>
        <item x="70"/>
        <item x="288"/>
        <item x="113"/>
        <item x="350"/>
        <item x="64"/>
        <item x="66"/>
        <item x="31"/>
        <item x="211"/>
        <item x="147"/>
        <item x="162"/>
        <item x="347"/>
        <item x="221"/>
        <item x="89"/>
        <item x="226"/>
        <item x="93"/>
        <item x="274"/>
        <item x="236"/>
        <item x="117"/>
        <item x="96"/>
        <item x="35"/>
        <item x="210"/>
        <item x="23"/>
        <item x="156"/>
        <item x="196"/>
        <item x="310"/>
        <item x="202"/>
        <item x="56"/>
        <item x="2"/>
        <item x="316"/>
        <item x="222"/>
        <item x="22"/>
        <item x="144"/>
        <item x="168"/>
        <item x="182"/>
        <item x="276"/>
        <item x="131"/>
        <item x="248"/>
        <item x="353"/>
        <item x="53"/>
        <item x="208"/>
        <item x="60"/>
        <item x="137"/>
        <item x="91"/>
        <item x="197"/>
        <item x="260"/>
        <item x="94"/>
        <item x="115"/>
        <item x="224"/>
        <item x="253"/>
        <item x="266"/>
        <item x="284"/>
        <item x="285"/>
        <item x="18"/>
        <item x="164"/>
        <item x="229"/>
        <item x="262"/>
        <item x="45"/>
        <item x="161"/>
        <item x="29"/>
        <item x="41"/>
        <item x="160"/>
        <item x="128"/>
        <item x="61"/>
        <item x="170"/>
        <item x="179"/>
        <item x="181"/>
        <item x="180"/>
        <item x="11"/>
        <item x="325"/>
        <item x="290"/>
        <item x="328"/>
        <item x="351"/>
        <item x="319"/>
        <item x="339"/>
        <item x="343"/>
        <item x="359"/>
        <item x="362"/>
        <item x="124"/>
        <item x="199"/>
        <item x="28"/>
        <item x="101"/>
        <item x="148"/>
        <item x="110"/>
        <item x="17"/>
        <item x="119"/>
        <item x="201"/>
        <item x="304"/>
        <item x="150"/>
        <item x="135"/>
        <item x="186"/>
        <item x="136"/>
        <item x="5"/>
        <item x="24"/>
        <item x="25"/>
        <item x="95"/>
        <item x="26"/>
        <item x="15"/>
        <item x="116"/>
        <item x="57"/>
        <item x="249"/>
        <item x="223"/>
        <item x="37"/>
        <item x="105"/>
        <item x="68"/>
        <item x="213"/>
        <item x="206"/>
        <item x="71"/>
        <item x="106"/>
        <item x="134"/>
        <item x="247"/>
        <item x="21"/>
        <item x="261"/>
        <item x="141"/>
        <item x="76"/>
        <item x="133"/>
        <item x="174"/>
        <item x="227"/>
        <item x="228"/>
        <item x="195"/>
        <item x="127"/>
        <item x="241"/>
        <item x="217"/>
        <item x="108"/>
        <item x="256"/>
        <item x="172"/>
        <item x="166"/>
        <item x="122"/>
        <item x="257"/>
        <item x="207"/>
        <item x="329"/>
        <item x="58"/>
        <item x="84"/>
        <item x="142"/>
        <item x="191"/>
        <item x="190"/>
        <item x="187"/>
        <item x="189"/>
        <item x="218"/>
        <item x="235"/>
        <item x="320"/>
        <item x="323"/>
        <item t="default"/>
      </items>
    </pivotField>
    <pivotField compact="0" outline="0" showAll="0"/>
    <pivotField compact="0" outline="0" showAll="0"/>
    <pivotField axis="axisRow" compact="0" outline="0" showAll="0">
      <items count="108">
        <item x="51"/>
        <item x="59"/>
        <item x="85"/>
        <item x="35"/>
        <item x="80"/>
        <item x="12"/>
        <item x="98"/>
        <item x="46"/>
        <item x="72"/>
        <item x="26"/>
        <item x="17"/>
        <item x="30"/>
        <item x="57"/>
        <item x="11"/>
        <item x="95"/>
        <item x="78"/>
        <item x="66"/>
        <item x="39"/>
        <item x="69"/>
        <item x="8"/>
        <item x="25"/>
        <item x="67"/>
        <item x="38"/>
        <item x="4"/>
        <item x="44"/>
        <item x="62"/>
        <item x="100"/>
        <item x="43"/>
        <item x="33"/>
        <item x="56"/>
        <item x="3"/>
        <item x="16"/>
        <item x="74"/>
        <item x="40"/>
        <item x="48"/>
        <item x="2"/>
        <item x="77"/>
        <item x="1"/>
        <item x="70"/>
        <item x="7"/>
        <item x="90"/>
        <item x="28"/>
        <item x="23"/>
        <item x="71"/>
        <item x="6"/>
        <item x="65"/>
        <item x="79"/>
        <item x="37"/>
        <item x="73"/>
        <item x="60"/>
        <item x="21"/>
        <item x="99"/>
        <item x="20"/>
        <item x="83"/>
        <item x="93"/>
        <item x="14"/>
        <item x="22"/>
        <item x="27"/>
        <item x="82"/>
        <item x="19"/>
        <item x="42"/>
        <item x="61"/>
        <item x="63"/>
        <item x="103"/>
        <item x="47"/>
        <item x="68"/>
        <item x="10"/>
        <item x="55"/>
        <item x="15"/>
        <item x="9"/>
        <item x="50"/>
        <item x="91"/>
        <item x="18"/>
        <item x="29"/>
        <item x="24"/>
        <item x="92"/>
        <item x="105"/>
        <item x="49"/>
        <item x="32"/>
        <item x="81"/>
        <item x="52"/>
        <item x="104"/>
        <item x="41"/>
        <item x="45"/>
        <item x="96"/>
        <item x="64"/>
        <item x="101"/>
        <item x="87"/>
        <item x="106"/>
        <item x="86"/>
        <item x="97"/>
        <item x="76"/>
        <item x="13"/>
        <item x="5"/>
        <item x="36"/>
        <item x="31"/>
        <item x="89"/>
        <item x="34"/>
        <item x="84"/>
        <item x="53"/>
        <item x="54"/>
        <item x="58"/>
        <item x="75"/>
        <item x="88"/>
        <item x="102"/>
        <item x="94"/>
        <item x="0"/>
        <item t="default"/>
      </items>
    </pivotField>
  </pivotFields>
  <rowFields count="2">
    <field x="7"/>
    <field x="10"/>
  </rowFields>
  <rowItems count="735">
    <i>
      <x/>
      <x v="106"/>
    </i>
    <i t="default">
      <x/>
    </i>
    <i>
      <x v="1"/>
      <x v="81"/>
    </i>
    <i t="default">
      <x v="1"/>
    </i>
    <i>
      <x v="2"/>
      <x v="106"/>
    </i>
    <i t="default">
      <x v="2"/>
    </i>
    <i>
      <x v="3"/>
      <x v="106"/>
    </i>
    <i t="default">
      <x v="3"/>
    </i>
    <i>
      <x v="4"/>
      <x v="96"/>
    </i>
    <i t="default">
      <x v="4"/>
    </i>
    <i>
      <x v="5"/>
      <x v="106"/>
    </i>
    <i t="default">
      <x v="5"/>
    </i>
    <i>
      <x v="6"/>
      <x v="53"/>
    </i>
    <i t="default">
      <x v="6"/>
    </i>
    <i>
      <x v="7"/>
      <x v="105"/>
    </i>
    <i t="default">
      <x v="7"/>
    </i>
    <i>
      <x v="8"/>
      <x v="10"/>
    </i>
    <i t="default">
      <x v="8"/>
    </i>
    <i>
      <x v="9"/>
      <x v="91"/>
    </i>
    <i t="default">
      <x v="9"/>
    </i>
    <i>
      <x v="10"/>
      <x v="106"/>
    </i>
    <i t="default">
      <x v="10"/>
    </i>
    <i>
      <x v="11"/>
      <x v="106"/>
    </i>
    <i t="default">
      <x v="11"/>
    </i>
    <i>
      <x v="12"/>
      <x v="106"/>
    </i>
    <i t="default">
      <x v="12"/>
    </i>
    <i>
      <x v="13"/>
      <x v="106"/>
    </i>
    <i t="default">
      <x v="13"/>
    </i>
    <i>
      <x v="14"/>
      <x v="34"/>
    </i>
    <i t="default">
      <x v="14"/>
    </i>
    <i>
      <x v="15"/>
      <x v="101"/>
    </i>
    <i t="default">
      <x v="15"/>
    </i>
    <i>
      <x v="16"/>
      <x v="106"/>
    </i>
    <i t="default">
      <x v="16"/>
    </i>
    <i>
      <x v="17"/>
      <x v="14"/>
    </i>
    <i t="default">
      <x v="17"/>
    </i>
    <i>
      <x v="18"/>
      <x v="90"/>
    </i>
    <i t="default">
      <x v="18"/>
    </i>
    <i>
      <x v="19"/>
      <x v="106"/>
    </i>
    <i t="default">
      <x v="19"/>
    </i>
    <i>
      <x v="20"/>
      <x v="106"/>
    </i>
    <i t="default">
      <x v="20"/>
    </i>
    <i>
      <x v="21"/>
      <x v="106"/>
    </i>
    <i t="default">
      <x v="21"/>
    </i>
    <i>
      <x v="22"/>
      <x v="106"/>
    </i>
    <i t="default">
      <x v="22"/>
    </i>
    <i>
      <x v="23"/>
      <x v="106"/>
    </i>
    <i t="default">
      <x v="23"/>
    </i>
    <i>
      <x v="24"/>
      <x v="106"/>
    </i>
    <i t="default">
      <x v="24"/>
    </i>
    <i>
      <x v="25"/>
      <x v="106"/>
    </i>
    <i t="default">
      <x v="25"/>
    </i>
    <i>
      <x v="26"/>
      <x v="106"/>
    </i>
    <i t="default">
      <x v="26"/>
    </i>
    <i>
      <x v="27"/>
      <x v="106"/>
    </i>
    <i t="default">
      <x v="27"/>
    </i>
    <i>
      <x v="28"/>
      <x v="106"/>
    </i>
    <i t="default">
      <x v="28"/>
    </i>
    <i>
      <x v="29"/>
      <x v="45"/>
    </i>
    <i t="default">
      <x v="29"/>
    </i>
    <i>
      <x v="30"/>
      <x v="64"/>
    </i>
    <i t="default">
      <x v="30"/>
    </i>
    <i>
      <x v="31"/>
      <x v="106"/>
    </i>
    <i t="default">
      <x v="31"/>
    </i>
    <i>
      <x v="32"/>
      <x v="20"/>
    </i>
    <i t="default">
      <x v="32"/>
    </i>
    <i>
      <x v="33"/>
      <x v="106"/>
    </i>
    <i t="default">
      <x v="33"/>
    </i>
    <i>
      <x v="34"/>
      <x v="106"/>
    </i>
    <i t="default">
      <x v="34"/>
    </i>
    <i>
      <x v="35"/>
      <x v="103"/>
    </i>
    <i t="default">
      <x v="35"/>
    </i>
    <i>
      <x v="36"/>
      <x v="104"/>
    </i>
    <i t="default">
      <x v="36"/>
    </i>
    <i>
      <x v="37"/>
      <x v="36"/>
    </i>
    <i t="default">
      <x v="37"/>
    </i>
    <i>
      <x v="38"/>
      <x v="106"/>
    </i>
    <i t="default">
      <x v="38"/>
    </i>
    <i>
      <x v="39"/>
      <x v="106"/>
    </i>
    <i t="default">
      <x v="39"/>
    </i>
    <i>
      <x v="40"/>
      <x v="106"/>
    </i>
    <i t="default">
      <x v="40"/>
    </i>
    <i>
      <x v="41"/>
      <x v="106"/>
    </i>
    <i t="default">
      <x v="41"/>
    </i>
    <i>
      <x v="42"/>
      <x v="106"/>
    </i>
    <i t="default">
      <x v="42"/>
    </i>
    <i>
      <x v="43"/>
      <x v="106"/>
    </i>
    <i t="default">
      <x v="43"/>
    </i>
    <i>
      <x v="44"/>
      <x v="102"/>
    </i>
    <i t="default">
      <x v="44"/>
    </i>
    <i>
      <x v="45"/>
      <x v="106"/>
    </i>
    <i t="default">
      <x v="45"/>
    </i>
    <i>
      <x v="46"/>
      <x v="106"/>
    </i>
    <i t="default">
      <x v="46"/>
    </i>
    <i>
      <x v="47"/>
      <x v="106"/>
    </i>
    <i t="default">
      <x v="47"/>
    </i>
    <i>
      <x v="48"/>
      <x v="106"/>
    </i>
    <i t="default">
      <x v="48"/>
    </i>
    <i>
      <x v="49"/>
      <x v="106"/>
    </i>
    <i t="default">
      <x v="49"/>
    </i>
    <i>
      <x v="50"/>
      <x v="106"/>
    </i>
    <i t="default">
      <x v="50"/>
    </i>
    <i>
      <x v="51"/>
      <x v="106"/>
    </i>
    <i t="default">
      <x v="51"/>
    </i>
    <i>
      <x v="52"/>
      <x v="106"/>
    </i>
    <i t="default">
      <x v="52"/>
    </i>
    <i>
      <x v="53"/>
      <x v="66"/>
    </i>
    <i t="default">
      <x v="53"/>
    </i>
    <i>
      <x v="54"/>
      <x v="106"/>
    </i>
    <i t="default">
      <x v="54"/>
    </i>
    <i>
      <x v="55"/>
      <x v="106"/>
    </i>
    <i t="default">
      <x v="55"/>
    </i>
    <i>
      <x v="56"/>
      <x v="106"/>
    </i>
    <i t="default">
      <x v="56"/>
    </i>
    <i>
      <x v="57"/>
      <x v="106"/>
    </i>
    <i t="default">
      <x v="57"/>
    </i>
    <i>
      <x v="58"/>
      <x v="106"/>
    </i>
    <i t="default">
      <x v="58"/>
    </i>
    <i>
      <x v="59"/>
      <x v="106"/>
    </i>
    <i t="default">
      <x v="59"/>
    </i>
    <i>
      <x v="60"/>
      <x v="106"/>
    </i>
    <i t="default">
      <x v="60"/>
    </i>
    <i>
      <x v="61"/>
      <x v="106"/>
    </i>
    <i t="default">
      <x v="61"/>
    </i>
    <i>
      <x v="62"/>
      <x v="77"/>
    </i>
    <i t="default">
      <x v="62"/>
    </i>
    <i>
      <x v="63"/>
      <x v="106"/>
    </i>
    <i t="default">
      <x v="63"/>
    </i>
    <i>
      <x v="64"/>
      <x v="12"/>
    </i>
    <i t="default">
      <x v="64"/>
    </i>
    <i>
      <x v="65"/>
      <x v="12"/>
    </i>
    <i t="default">
      <x v="65"/>
    </i>
    <i>
      <x v="66"/>
      <x v="23"/>
    </i>
    <i t="default">
      <x v="66"/>
    </i>
    <i>
      <x v="67"/>
      <x v="106"/>
    </i>
    <i t="default">
      <x v="67"/>
    </i>
    <i>
      <x v="68"/>
      <x v="106"/>
    </i>
    <i t="default">
      <x v="68"/>
    </i>
    <i>
      <x v="69"/>
      <x v="106"/>
    </i>
    <i t="default">
      <x v="69"/>
    </i>
    <i>
      <x v="70"/>
      <x v="106"/>
    </i>
    <i t="default">
      <x v="70"/>
    </i>
    <i>
      <x v="71"/>
      <x v="106"/>
    </i>
    <i t="default">
      <x v="71"/>
    </i>
    <i>
      <x v="72"/>
      <x v="106"/>
    </i>
    <i t="default">
      <x v="72"/>
    </i>
    <i>
      <x v="73"/>
      <x v="106"/>
    </i>
    <i t="default">
      <x v="73"/>
    </i>
    <i>
      <x v="74"/>
      <x v="106"/>
    </i>
    <i t="default">
      <x v="74"/>
    </i>
    <i>
      <x v="75"/>
      <x v="106"/>
    </i>
    <i t="default">
      <x v="75"/>
    </i>
    <i>
      <x v="76"/>
      <x v="106"/>
    </i>
    <i t="default">
      <x v="76"/>
    </i>
    <i>
      <x v="77"/>
      <x v="106"/>
    </i>
    <i t="default">
      <x v="77"/>
    </i>
    <i>
      <x v="78"/>
      <x v="63"/>
    </i>
    <i t="default">
      <x v="78"/>
    </i>
    <i>
      <x v="79"/>
      <x v="106"/>
    </i>
    <i t="default">
      <x v="79"/>
    </i>
    <i>
      <x v="80"/>
      <x v="106"/>
    </i>
    <i t="default">
      <x v="80"/>
    </i>
    <i>
      <x v="81"/>
      <x v="106"/>
    </i>
    <i t="default">
      <x v="81"/>
    </i>
    <i>
      <x v="82"/>
      <x v="106"/>
    </i>
    <i t="default">
      <x v="82"/>
    </i>
    <i>
      <x v="83"/>
      <x v="106"/>
    </i>
    <i t="default">
      <x v="83"/>
    </i>
    <i>
      <x v="84"/>
      <x v="6"/>
    </i>
    <i t="default">
      <x v="84"/>
    </i>
    <i>
      <x v="85"/>
      <x v="106"/>
    </i>
    <i t="default">
      <x v="85"/>
    </i>
    <i>
      <x v="86"/>
      <x v="106"/>
    </i>
    <i t="default">
      <x v="86"/>
    </i>
    <i>
      <x v="87"/>
      <x v="106"/>
    </i>
    <i t="default">
      <x v="87"/>
    </i>
    <i>
      <x v="88"/>
      <x v="106"/>
    </i>
    <i t="default">
      <x v="88"/>
    </i>
    <i>
      <x v="89"/>
      <x v="106"/>
    </i>
    <i t="default">
      <x v="89"/>
    </i>
    <i>
      <x v="90"/>
      <x v="106"/>
    </i>
    <i t="default">
      <x v="90"/>
    </i>
    <i>
      <x v="91"/>
      <x v="106"/>
    </i>
    <i t="default">
      <x v="91"/>
    </i>
    <i>
      <x v="92"/>
      <x v="41"/>
    </i>
    <i t="default">
      <x v="92"/>
    </i>
    <i>
      <x v="93"/>
      <x v="40"/>
    </i>
    <i t="default">
      <x v="93"/>
    </i>
    <i>
      <x v="94"/>
      <x v="40"/>
    </i>
    <i t="default">
      <x v="94"/>
    </i>
    <i>
      <x v="95"/>
      <x v="35"/>
    </i>
    <i t="default">
      <x v="95"/>
    </i>
    <i>
      <x v="96"/>
      <x v="54"/>
    </i>
    <i t="default">
      <x v="96"/>
    </i>
    <i>
      <x v="97"/>
      <x v="54"/>
    </i>
    <i t="default">
      <x v="97"/>
    </i>
    <i>
      <x v="98"/>
      <x v="54"/>
    </i>
    <i t="default">
      <x v="98"/>
    </i>
    <i>
      <x v="99"/>
      <x v="54"/>
    </i>
    <i t="default">
      <x v="99"/>
    </i>
    <i>
      <x v="100"/>
      <x v="21"/>
    </i>
    <i t="default">
      <x v="100"/>
    </i>
    <i>
      <x v="101"/>
      <x v="106"/>
    </i>
    <i t="default">
      <x v="101"/>
    </i>
    <i>
      <x v="102"/>
      <x v="60"/>
    </i>
    <i t="default">
      <x v="102"/>
    </i>
    <i>
      <x v="103"/>
      <x v="1"/>
    </i>
    <i t="default">
      <x v="103"/>
    </i>
    <i>
      <x v="104"/>
      <x v="106"/>
    </i>
    <i t="default">
      <x v="104"/>
    </i>
    <i>
      <x v="105"/>
      <x v="106"/>
    </i>
    <i t="default">
      <x v="105"/>
    </i>
    <i>
      <x v="106"/>
      <x v="106"/>
    </i>
    <i t="default">
      <x v="106"/>
    </i>
    <i>
      <x v="107"/>
      <x v="106"/>
    </i>
    <i t="default">
      <x v="107"/>
    </i>
    <i>
      <x v="108"/>
      <x v="76"/>
    </i>
    <i t="default">
      <x v="108"/>
    </i>
    <i>
      <x v="109"/>
      <x v="15"/>
    </i>
    <i t="default">
      <x v="109"/>
    </i>
    <i>
      <x v="110"/>
      <x v="106"/>
    </i>
    <i t="default">
      <x v="110"/>
    </i>
    <i>
      <x v="111"/>
      <x v="106"/>
    </i>
    <i t="default">
      <x v="111"/>
    </i>
    <i>
      <x v="112"/>
      <x v="106"/>
    </i>
    <i t="default">
      <x v="112"/>
    </i>
    <i>
      <x v="113"/>
      <x v="106"/>
    </i>
    <i t="default">
      <x v="113"/>
    </i>
    <i>
      <x v="114"/>
      <x v="29"/>
    </i>
    <i t="default">
      <x v="114"/>
    </i>
    <i>
      <x v="115"/>
      <x v="30"/>
    </i>
    <i t="default">
      <x v="115"/>
    </i>
    <i>
      <x v="116"/>
      <x v="106"/>
    </i>
    <i t="default">
      <x v="116"/>
    </i>
    <i>
      <x v="117"/>
      <x v="62"/>
    </i>
    <i t="default">
      <x v="117"/>
    </i>
    <i>
      <x v="118"/>
      <x v="106"/>
    </i>
    <i t="default">
      <x v="118"/>
    </i>
    <i>
      <x v="119"/>
      <x v="106"/>
    </i>
    <i t="default">
      <x v="119"/>
    </i>
    <i>
      <x v="120"/>
      <x v="106"/>
    </i>
    <i t="default">
      <x v="120"/>
    </i>
    <i>
      <x v="121"/>
      <x v="106"/>
    </i>
    <i t="default">
      <x v="121"/>
    </i>
    <i>
      <x v="122"/>
      <x v="106"/>
    </i>
    <i t="default">
      <x v="122"/>
    </i>
    <i>
      <x v="123"/>
      <x v="106"/>
    </i>
    <i t="default">
      <x v="123"/>
    </i>
    <i>
      <x v="124"/>
      <x v="82"/>
    </i>
    <i t="default">
      <x v="124"/>
    </i>
    <i>
      <x v="125"/>
      <x v="106"/>
    </i>
    <i t="default">
      <x v="125"/>
    </i>
    <i>
      <x v="126"/>
      <x v="106"/>
    </i>
    <i t="default">
      <x v="126"/>
    </i>
    <i>
      <x v="127"/>
      <x v="106"/>
    </i>
    <i t="default">
      <x v="127"/>
    </i>
    <i>
      <x v="128"/>
      <x v="2"/>
    </i>
    <i t="default">
      <x v="128"/>
    </i>
    <i>
      <x v="129"/>
      <x v="106"/>
    </i>
    <i t="default">
      <x v="129"/>
    </i>
    <i>
      <x v="130"/>
      <x v="99"/>
    </i>
    <i t="default">
      <x v="130"/>
    </i>
    <i>
      <x v="131"/>
      <x v="106"/>
    </i>
    <i t="default">
      <x v="131"/>
    </i>
    <i>
      <x v="132"/>
      <x v="98"/>
    </i>
    <i t="default">
      <x v="132"/>
    </i>
    <i>
      <x v="133"/>
      <x v="11"/>
    </i>
    <i t="default">
      <x v="133"/>
    </i>
    <i>
      <x v="134"/>
      <x v="106"/>
    </i>
    <i t="default">
      <x v="134"/>
    </i>
    <i>
      <x v="135"/>
      <x v="106"/>
    </i>
    <i t="default">
      <x v="135"/>
    </i>
    <i>
      <x v="136"/>
      <x v="106"/>
    </i>
    <i t="default">
      <x v="136"/>
    </i>
    <i>
      <x v="137"/>
      <x v="95"/>
    </i>
    <i t="default">
      <x v="137"/>
    </i>
    <i>
      <x v="138"/>
      <x v="106"/>
    </i>
    <i t="default">
      <x v="138"/>
    </i>
    <i>
      <x v="139"/>
      <x v="106"/>
    </i>
    <i t="default">
      <x v="139"/>
    </i>
    <i>
      <x v="140"/>
      <x v="106"/>
    </i>
    <i t="default">
      <x v="140"/>
    </i>
    <i>
      <x v="141"/>
      <x v="106"/>
    </i>
    <i t="default">
      <x v="141"/>
    </i>
    <i>
      <x v="142"/>
      <x v="106"/>
    </i>
    <i t="default">
      <x v="142"/>
    </i>
    <i>
      <x v="143"/>
      <x v="106"/>
    </i>
    <i t="default">
      <x v="143"/>
    </i>
    <i>
      <x v="144"/>
      <x v="106"/>
    </i>
    <i t="default">
      <x v="144"/>
    </i>
    <i>
      <x v="145"/>
      <x v="22"/>
    </i>
    <i t="default">
      <x v="145"/>
    </i>
    <i>
      <x v="146"/>
      <x v="106"/>
    </i>
    <i t="default">
      <x v="146"/>
    </i>
    <i>
      <x v="147"/>
      <x v="16"/>
    </i>
    <i t="default">
      <x v="147"/>
    </i>
    <i>
      <x v="148"/>
      <x v="57"/>
    </i>
    <i t="default">
      <x v="148"/>
    </i>
    <i>
      <x v="149"/>
      <x v="106"/>
    </i>
    <i t="default">
      <x v="149"/>
    </i>
    <i>
      <x v="150"/>
      <x v="106"/>
    </i>
    <i t="default">
      <x v="150"/>
    </i>
    <i>
      <x v="151"/>
      <x v="106"/>
    </i>
    <i t="default">
      <x v="151"/>
    </i>
    <i>
      <x v="152"/>
      <x v="106"/>
    </i>
    <i t="default">
      <x v="152"/>
    </i>
    <i>
      <x v="153"/>
      <x v="7"/>
    </i>
    <i t="default">
      <x v="153"/>
    </i>
    <i>
      <x v="154"/>
      <x v="106"/>
    </i>
    <i t="default">
      <x v="154"/>
    </i>
    <i>
      <x v="155"/>
      <x v="49"/>
    </i>
    <i t="default">
      <x v="155"/>
    </i>
    <i>
      <x v="156"/>
      <x v="61"/>
    </i>
    <i t="default">
      <x v="156"/>
    </i>
    <i>
      <x v="157"/>
      <x v="106"/>
    </i>
    <i t="default">
      <x v="157"/>
    </i>
    <i>
      <x v="158"/>
      <x v="106"/>
    </i>
    <i t="default">
      <x v="158"/>
    </i>
    <i>
      <x v="159"/>
      <x v="106"/>
    </i>
    <i t="default">
      <x v="159"/>
    </i>
    <i>
      <x v="160"/>
      <x v="106"/>
    </i>
    <i t="default">
      <x v="160"/>
    </i>
    <i>
      <x v="161"/>
      <x v="106"/>
    </i>
    <i t="default">
      <x v="161"/>
    </i>
    <i>
      <x v="162"/>
      <x v="106"/>
    </i>
    <i t="default">
      <x v="162"/>
    </i>
    <i>
      <x v="163"/>
      <x v="106"/>
    </i>
    <i t="default">
      <x v="163"/>
    </i>
    <i>
      <x v="164"/>
      <x v="3"/>
    </i>
    <i t="default">
      <x v="164"/>
    </i>
    <i>
      <x v="165"/>
      <x v="65"/>
    </i>
    <i t="default">
      <x v="165"/>
    </i>
    <i>
      <x v="166"/>
      <x v="106"/>
    </i>
    <i t="default">
      <x v="166"/>
    </i>
    <i>
      <x v="167"/>
      <x v="106"/>
    </i>
    <i t="default">
      <x v="167"/>
    </i>
    <i>
      <x v="168"/>
      <x v="106"/>
    </i>
    <i t="default">
      <x v="168"/>
    </i>
    <i>
      <x v="169"/>
      <x v="86"/>
    </i>
    <i t="default">
      <x v="169"/>
    </i>
    <i>
      <x v="170"/>
      <x v="106"/>
    </i>
    <i t="default">
      <x v="170"/>
    </i>
    <i>
      <x v="171"/>
      <x v="9"/>
    </i>
    <i t="default">
      <x v="171"/>
    </i>
    <i>
      <x v="172"/>
      <x v="106"/>
    </i>
    <i t="default">
      <x v="172"/>
    </i>
    <i>
      <x v="173"/>
      <x v="106"/>
    </i>
    <i t="default">
      <x v="173"/>
    </i>
    <i>
      <x v="174"/>
      <x v="106"/>
    </i>
    <i t="default">
      <x v="174"/>
    </i>
    <i>
      <x v="175"/>
      <x v="106"/>
    </i>
    <i t="default">
      <x v="175"/>
    </i>
    <i>
      <x v="176"/>
      <x v="106"/>
    </i>
    <i t="default">
      <x v="176"/>
    </i>
    <i>
      <x v="177"/>
      <x v="106"/>
    </i>
    <i t="default">
      <x v="177"/>
    </i>
    <i>
      <x v="178"/>
      <x v="106"/>
    </i>
    <i t="default">
      <x v="178"/>
    </i>
    <i>
      <x v="179"/>
      <x v="72"/>
    </i>
    <i t="default">
      <x v="179"/>
    </i>
    <i>
      <x v="180"/>
      <x v="97"/>
    </i>
    <i t="default">
      <x v="180"/>
    </i>
    <i>
      <x v="181"/>
      <x v="106"/>
    </i>
    <i t="default">
      <x v="181"/>
    </i>
    <i>
      <x v="182"/>
      <x v="106"/>
    </i>
    <i t="default">
      <x v="182"/>
    </i>
    <i>
      <x v="183"/>
      <x v="106"/>
    </i>
    <i t="default">
      <x v="183"/>
    </i>
    <i>
      <x v="184"/>
      <x v="106"/>
    </i>
    <i t="default">
      <x v="184"/>
    </i>
    <i>
      <x v="185"/>
      <x v="106"/>
    </i>
    <i t="default">
      <x v="185"/>
    </i>
    <i>
      <x v="186"/>
      <x v="106"/>
    </i>
    <i t="default">
      <x v="186"/>
    </i>
    <i>
      <x v="187"/>
      <x v="106"/>
    </i>
    <i t="default">
      <x v="187"/>
    </i>
    <i>
      <x v="188"/>
      <x v="13"/>
    </i>
    <i t="default">
      <x v="188"/>
    </i>
    <i>
      <x v="189"/>
      <x v="106"/>
    </i>
    <i t="default">
      <x v="189"/>
    </i>
    <i>
      <x v="190"/>
      <x v="38"/>
    </i>
    <i t="default">
      <x v="190"/>
    </i>
    <i>
      <x v="191"/>
      <x v="106"/>
    </i>
    <i t="default">
      <x v="191"/>
    </i>
    <i>
      <x v="192"/>
      <x v="106"/>
    </i>
    <i t="default">
      <x v="192"/>
    </i>
    <i>
      <x v="193"/>
      <x v="106"/>
    </i>
    <i t="default">
      <x v="193"/>
    </i>
    <i>
      <x v="194"/>
      <x v="106"/>
    </i>
    <i t="default">
      <x v="194"/>
    </i>
    <i>
      <x v="195"/>
      <x v="4"/>
    </i>
    <i t="default">
      <x v="195"/>
    </i>
    <i>
      <x v="196"/>
      <x v="31"/>
    </i>
    <i t="default">
      <x v="196"/>
    </i>
    <i>
      <x v="197"/>
      <x v="93"/>
    </i>
    <i t="default">
      <x v="197"/>
    </i>
    <i>
      <x v="198"/>
      <x v="106"/>
    </i>
    <i t="default">
      <x v="198"/>
    </i>
    <i>
      <x v="199"/>
      <x v="106"/>
    </i>
    <i t="default">
      <x v="199"/>
    </i>
    <i>
      <x v="200"/>
      <x v="106"/>
    </i>
    <i t="default">
      <x v="200"/>
    </i>
    <i>
      <x v="201"/>
      <x v="106"/>
    </i>
    <i t="default">
      <x v="201"/>
    </i>
    <i>
      <x v="202"/>
      <x v="14"/>
    </i>
    <i t="default">
      <x v="202"/>
    </i>
    <i>
      <x v="203"/>
      <x v="106"/>
    </i>
    <i t="default">
      <x v="203"/>
    </i>
    <i>
      <x v="204"/>
      <x v="106"/>
    </i>
    <i t="default">
      <x v="204"/>
    </i>
    <i>
      <x v="205"/>
      <x v="106"/>
    </i>
    <i t="default">
      <x v="205"/>
    </i>
    <i>
      <x v="206"/>
      <x v="106"/>
    </i>
    <i t="default">
      <x v="206"/>
    </i>
    <i>
      <x v="207"/>
      <x v="106"/>
    </i>
    <i t="default">
      <x v="207"/>
    </i>
    <i>
      <x v="208"/>
      <x v="106"/>
    </i>
    <i t="default">
      <x v="208"/>
    </i>
    <i>
      <x v="209"/>
      <x v="106"/>
    </i>
    <i t="default">
      <x v="209"/>
    </i>
    <i>
      <x v="210"/>
      <x v="55"/>
    </i>
    <i t="default">
      <x v="210"/>
    </i>
    <i>
      <x v="211"/>
      <x v="42"/>
    </i>
    <i t="default">
      <x v="211"/>
    </i>
    <i>
      <x v="212"/>
      <x v="68"/>
    </i>
    <i t="default">
      <x v="212"/>
    </i>
    <i>
      <x v="213"/>
      <x v="52"/>
    </i>
    <i t="default">
      <x v="213"/>
    </i>
    <i>
      <x v="214"/>
      <x v="15"/>
    </i>
    <i t="default">
      <x v="214"/>
    </i>
    <i>
      <x v="215"/>
      <x v="79"/>
    </i>
    <i t="default">
      <x v="215"/>
    </i>
    <i>
      <x v="216"/>
      <x v="106"/>
    </i>
    <i t="default">
      <x v="216"/>
    </i>
    <i>
      <x v="217"/>
      <x v="106"/>
    </i>
    <i t="default">
      <x v="217"/>
    </i>
    <i>
      <x v="218"/>
      <x v="67"/>
    </i>
    <i t="default">
      <x v="218"/>
    </i>
    <i>
      <x v="219"/>
      <x v="106"/>
    </i>
    <i t="default">
      <x v="219"/>
    </i>
    <i>
      <x v="220"/>
      <x v="87"/>
    </i>
    <i t="default">
      <x v="220"/>
    </i>
    <i>
      <x v="221"/>
      <x v="106"/>
    </i>
    <i t="default">
      <x v="221"/>
    </i>
    <i>
      <x v="222"/>
      <x v="106"/>
    </i>
    <i t="default">
      <x v="222"/>
    </i>
    <i>
      <x v="223"/>
      <x v="106"/>
    </i>
    <i t="default">
      <x v="223"/>
    </i>
    <i>
      <x v="224"/>
      <x v="106"/>
    </i>
    <i t="default">
      <x v="224"/>
    </i>
    <i>
      <x v="225"/>
      <x v="106"/>
    </i>
    <i t="default">
      <x v="225"/>
    </i>
    <i>
      <x v="226"/>
      <x v="50"/>
    </i>
    <i t="default">
      <x v="226"/>
    </i>
    <i>
      <x v="227"/>
      <x v="71"/>
    </i>
    <i t="default">
      <x v="227"/>
    </i>
    <i>
      <x v="228"/>
      <x v="106"/>
    </i>
    <i t="default">
      <x v="228"/>
    </i>
    <i>
      <x v="229"/>
      <x v="106"/>
    </i>
    <i t="default">
      <x v="229"/>
    </i>
    <i>
      <x v="230"/>
      <x v="69"/>
    </i>
    <i t="default">
      <x v="230"/>
    </i>
    <i>
      <x v="231"/>
      <x v="69"/>
    </i>
    <i t="default">
      <x v="231"/>
    </i>
    <i>
      <x v="232"/>
      <x v="69"/>
    </i>
    <i t="default">
      <x v="232"/>
    </i>
    <i>
      <x v="233"/>
      <x v="106"/>
    </i>
    <i t="default">
      <x v="233"/>
    </i>
    <i>
      <x v="234"/>
      <x v="24"/>
    </i>
    <i t="default">
      <x v="234"/>
    </i>
    <i>
      <x v="235"/>
      <x/>
    </i>
    <i t="default">
      <x v="235"/>
    </i>
    <i>
      <x v="236"/>
      <x v="88"/>
    </i>
    <i t="default">
      <x v="236"/>
    </i>
    <i>
      <x v="237"/>
      <x v="43"/>
    </i>
    <i t="default">
      <x v="237"/>
    </i>
    <i>
      <x v="238"/>
      <x v="106"/>
    </i>
    <i t="default">
      <x v="238"/>
    </i>
    <i>
      <x v="239"/>
      <x v="106"/>
    </i>
    <i t="default">
      <x v="239"/>
    </i>
    <i>
      <x v="240"/>
      <x v="106"/>
    </i>
    <i t="default">
      <x v="240"/>
    </i>
    <i>
      <x v="241"/>
      <x v="106"/>
    </i>
    <i t="default">
      <x v="241"/>
    </i>
    <i>
      <x v="242"/>
      <x v="32"/>
    </i>
    <i t="default">
      <x v="242"/>
    </i>
    <i>
      <x v="243"/>
      <x v="28"/>
    </i>
    <i t="default">
      <x v="243"/>
    </i>
    <i>
      <x v="244"/>
      <x v="73"/>
    </i>
    <i t="default">
      <x v="244"/>
    </i>
    <i>
      <x v="245"/>
      <x v="5"/>
    </i>
    <i t="default">
      <x v="245"/>
    </i>
    <i>
      <x v="246"/>
      <x v="106"/>
    </i>
    <i t="default">
      <x v="246"/>
    </i>
    <i>
      <x v="247"/>
      <x v="106"/>
    </i>
    <i t="default">
      <x v="247"/>
    </i>
    <i>
      <x v="248"/>
      <x v="106"/>
    </i>
    <i t="default">
      <x v="248"/>
    </i>
    <i>
      <x v="249"/>
      <x v="106"/>
    </i>
    <i t="default">
      <x v="249"/>
    </i>
    <i>
      <x v="250"/>
      <x v="106"/>
    </i>
    <i t="default">
      <x v="250"/>
    </i>
    <i>
      <x v="251"/>
      <x v="106"/>
    </i>
    <i t="default">
      <x v="251"/>
    </i>
    <i>
      <x v="252"/>
      <x v="106"/>
    </i>
    <i t="default">
      <x v="252"/>
    </i>
    <i>
      <x v="253"/>
      <x v="37"/>
    </i>
    <i t="default">
      <x v="253"/>
    </i>
    <i>
      <x v="254"/>
      <x v="51"/>
    </i>
    <i t="default">
      <x v="254"/>
    </i>
    <i>
      <x v="255"/>
      <x v="106"/>
    </i>
    <i t="default">
      <x v="255"/>
    </i>
    <i>
      <x v="256"/>
      <x v="44"/>
    </i>
    <i t="default">
      <x v="256"/>
    </i>
    <i>
      <x v="257"/>
      <x v="27"/>
    </i>
    <i t="default">
      <x v="257"/>
    </i>
    <i>
      <x v="258"/>
      <x v="106"/>
    </i>
    <i t="default">
      <x v="258"/>
    </i>
    <i>
      <x v="259"/>
      <x v="106"/>
    </i>
    <i t="default">
      <x v="259"/>
    </i>
    <i>
      <x v="260"/>
      <x v="89"/>
    </i>
    <i t="default">
      <x v="260"/>
    </i>
    <i>
      <x v="261"/>
      <x v="106"/>
    </i>
    <i t="default">
      <x v="261"/>
    </i>
    <i>
      <x v="262"/>
      <x v="106"/>
    </i>
    <i t="default">
      <x v="262"/>
    </i>
    <i>
      <x v="263"/>
      <x v="106"/>
    </i>
    <i t="default">
      <x v="263"/>
    </i>
    <i>
      <x v="264"/>
      <x v="106"/>
    </i>
    <i t="default">
      <x v="264"/>
    </i>
    <i>
      <x v="265"/>
      <x v="106"/>
    </i>
    <i t="default">
      <x v="265"/>
    </i>
    <i>
      <x v="266"/>
      <x v="106"/>
    </i>
    <i t="default">
      <x v="266"/>
    </i>
    <i>
      <x v="267"/>
      <x v="106"/>
    </i>
    <i t="default">
      <x v="267"/>
    </i>
    <i>
      <x v="268"/>
      <x v="106"/>
    </i>
    <i t="default">
      <x v="268"/>
    </i>
    <i>
      <x v="269"/>
      <x v="25"/>
    </i>
    <i t="default">
      <x v="269"/>
    </i>
    <i>
      <x v="270"/>
      <x v="25"/>
    </i>
    <i t="default">
      <x v="270"/>
    </i>
    <i>
      <x v="271"/>
      <x v="106"/>
    </i>
    <i t="default">
      <x v="271"/>
    </i>
    <i>
      <x v="272"/>
      <x v="106"/>
    </i>
    <i t="default">
      <x v="272"/>
    </i>
    <i>
      <x v="273"/>
      <x v="106"/>
    </i>
    <i t="default">
      <x v="273"/>
    </i>
    <i>
      <x v="274"/>
      <x v="58"/>
    </i>
    <i t="default">
      <x v="274"/>
    </i>
    <i>
      <x v="275"/>
      <x v="106"/>
    </i>
    <i t="default">
      <x v="275"/>
    </i>
    <i>
      <x v="276"/>
      <x v="106"/>
    </i>
    <i t="default">
      <x v="276"/>
    </i>
    <i>
      <x v="277"/>
      <x v="106"/>
    </i>
    <i t="default">
      <x v="277"/>
    </i>
    <i>
      <x v="278"/>
      <x v="106"/>
    </i>
    <i t="default">
      <x v="278"/>
    </i>
    <i>
      <x v="279"/>
      <x v="80"/>
    </i>
    <i t="default">
      <x v="279"/>
    </i>
    <i>
      <x v="280"/>
      <x v="106"/>
    </i>
    <i t="default">
      <x v="280"/>
    </i>
    <i>
      <x v="281"/>
      <x v="106"/>
    </i>
    <i t="default">
      <x v="281"/>
    </i>
    <i>
      <x v="282"/>
      <x v="106"/>
    </i>
    <i t="default">
      <x v="282"/>
    </i>
    <i>
      <x v="283"/>
      <x v="106"/>
    </i>
    <i t="default">
      <x v="283"/>
    </i>
    <i>
      <x v="284"/>
      <x v="19"/>
    </i>
    <i t="default">
      <x v="284"/>
    </i>
    <i>
      <x v="285"/>
      <x v="106"/>
    </i>
    <i t="default">
      <x v="285"/>
    </i>
    <i>
      <x v="286"/>
      <x v="70"/>
    </i>
    <i t="default">
      <x v="286"/>
    </i>
    <i>
      <x v="287"/>
      <x v="106"/>
    </i>
    <i t="default">
      <x v="287"/>
    </i>
    <i>
      <x v="288"/>
      <x v="59"/>
    </i>
    <i t="default">
      <x v="288"/>
    </i>
    <i>
      <x v="289"/>
      <x v="106"/>
    </i>
    <i t="default">
      <x v="289"/>
    </i>
    <i>
      <x v="290"/>
      <x v="106"/>
    </i>
    <i t="default">
      <x v="290"/>
    </i>
    <i>
      <x v="291"/>
      <x v="106"/>
    </i>
    <i t="default">
      <x v="291"/>
    </i>
    <i>
      <x v="292"/>
      <x v="106"/>
    </i>
    <i t="default">
      <x v="292"/>
    </i>
    <i>
      <x v="293"/>
      <x v="106"/>
    </i>
    <i t="default">
      <x v="293"/>
    </i>
    <i>
      <x v="294"/>
      <x v="75"/>
    </i>
    <i t="default">
      <x v="294"/>
    </i>
    <i>
      <x v="295"/>
      <x v="75"/>
    </i>
    <i t="default">
      <x v="295"/>
    </i>
    <i>
      <x v="296"/>
      <x v="106"/>
    </i>
    <i t="default">
      <x v="296"/>
    </i>
    <i>
      <x v="297"/>
      <x v="106"/>
    </i>
    <i t="default">
      <x v="297"/>
    </i>
    <i>
      <x v="298"/>
      <x v="26"/>
    </i>
    <i t="default">
      <x v="298"/>
    </i>
    <i>
      <x v="299"/>
      <x v="106"/>
    </i>
    <i t="default">
      <x v="299"/>
    </i>
    <i>
      <x v="300"/>
      <x v="106"/>
    </i>
    <i t="default">
      <x v="300"/>
    </i>
    <i>
      <x v="301"/>
      <x v="106"/>
    </i>
    <i t="default">
      <x v="301"/>
    </i>
    <i>
      <x v="302"/>
      <x v="106"/>
    </i>
    <i t="default">
      <x v="302"/>
    </i>
    <i>
      <x v="303"/>
      <x v="94"/>
    </i>
    <i t="default">
      <x v="303"/>
    </i>
    <i>
      <x v="304"/>
      <x v="106"/>
    </i>
    <i t="default">
      <x v="304"/>
    </i>
    <i>
      <x v="305"/>
      <x v="106"/>
    </i>
    <i t="default">
      <x v="305"/>
    </i>
    <i>
      <x v="306"/>
      <x v="106"/>
    </i>
    <i t="default">
      <x v="306"/>
    </i>
    <i>
      <x v="307"/>
      <x v="106"/>
    </i>
    <i t="default">
      <x v="307"/>
    </i>
    <i>
      <x v="308"/>
      <x v="106"/>
    </i>
    <i t="default">
      <x v="308"/>
    </i>
    <i>
      <x v="309"/>
      <x v="106"/>
    </i>
    <i t="default">
      <x v="309"/>
    </i>
    <i>
      <x v="310"/>
      <x v="106"/>
    </i>
    <i t="default">
      <x v="310"/>
    </i>
    <i>
      <x v="311"/>
      <x v="85"/>
    </i>
    <i t="default">
      <x v="311"/>
    </i>
    <i>
      <x v="312"/>
      <x v="84"/>
    </i>
    <i t="default">
      <x v="312"/>
    </i>
    <i>
      <x v="313"/>
      <x v="83"/>
    </i>
    <i t="default">
      <x v="313"/>
    </i>
    <i>
      <x v="314"/>
      <x v="17"/>
    </i>
    <i t="default">
      <x v="314"/>
    </i>
    <i>
      <x v="315"/>
      <x v="106"/>
    </i>
    <i t="default">
      <x v="315"/>
    </i>
    <i>
      <x v="316"/>
      <x v="33"/>
    </i>
    <i t="default">
      <x v="316"/>
    </i>
    <i>
      <x v="317"/>
      <x v="106"/>
    </i>
    <i t="default">
      <x v="317"/>
    </i>
    <i>
      <x v="318"/>
      <x v="106"/>
    </i>
    <i t="default">
      <x v="318"/>
    </i>
    <i>
      <x v="319"/>
      <x v="106"/>
    </i>
    <i t="default">
      <x v="319"/>
    </i>
    <i>
      <x v="320"/>
      <x v="41"/>
    </i>
    <i t="default">
      <x v="320"/>
    </i>
    <i>
      <x v="321"/>
      <x v="39"/>
    </i>
    <i t="default">
      <x v="321"/>
    </i>
    <i>
      <x v="322"/>
      <x v="106"/>
    </i>
    <i t="default">
      <x v="322"/>
    </i>
    <i>
      <x v="323"/>
      <x v="106"/>
    </i>
    <i t="default">
      <x v="323"/>
    </i>
    <i>
      <x v="324"/>
      <x v="106"/>
    </i>
    <i t="default">
      <x v="324"/>
    </i>
    <i>
      <x v="325"/>
      <x v="46"/>
    </i>
    <i t="default">
      <x v="325"/>
    </i>
    <i>
      <x v="326"/>
      <x v="8"/>
    </i>
    <i t="default">
      <x v="326"/>
    </i>
    <i>
      <x v="327"/>
      <x v="92"/>
    </i>
    <i t="default">
      <x v="327"/>
    </i>
    <i>
      <x v="328"/>
      <x v="106"/>
    </i>
    <i t="default">
      <x v="328"/>
    </i>
    <i>
      <x v="329"/>
      <x v="106"/>
    </i>
    <i t="default">
      <x v="329"/>
    </i>
    <i>
      <x v="330"/>
      <x v="106"/>
    </i>
    <i t="default">
      <x v="330"/>
    </i>
    <i>
      <x v="331"/>
      <x v="16"/>
    </i>
    <i t="default">
      <x v="331"/>
    </i>
    <i>
      <x v="332"/>
      <x v="56"/>
    </i>
    <i t="default">
      <x v="332"/>
    </i>
    <i>
      <x v="333"/>
      <x v="56"/>
    </i>
    <i t="default">
      <x v="333"/>
    </i>
    <i>
      <x v="334"/>
      <x v="56"/>
    </i>
    <i t="default">
      <x v="334"/>
    </i>
    <i>
      <x v="335"/>
      <x v="56"/>
    </i>
    <i t="default">
      <x v="335"/>
    </i>
    <i>
      <x v="336"/>
      <x v="106"/>
    </i>
    <i t="default">
      <x v="336"/>
    </i>
    <i>
      <x v="337"/>
      <x v="106"/>
    </i>
    <i t="default">
      <x v="337"/>
    </i>
    <i>
      <x v="338"/>
      <x v="106"/>
    </i>
    <i t="default">
      <x v="338"/>
    </i>
    <i>
      <x v="339"/>
      <x v="74"/>
    </i>
    <i t="default">
      <x v="339"/>
    </i>
    <i>
      <x v="340"/>
      <x v="74"/>
    </i>
    <i t="default">
      <x v="340"/>
    </i>
    <i>
      <x v="341"/>
      <x v="74"/>
    </i>
    <i t="default">
      <x v="341"/>
    </i>
    <i>
      <x v="342"/>
      <x v="74"/>
    </i>
    <i t="default">
      <x v="342"/>
    </i>
    <i>
      <x v="343"/>
      <x v="48"/>
    </i>
    <i t="default">
      <x v="343"/>
    </i>
    <i>
      <x v="344"/>
      <x v="106"/>
    </i>
    <i t="default">
      <x v="344"/>
    </i>
    <i>
      <x v="345"/>
      <x v="47"/>
    </i>
    <i t="default">
      <x v="345"/>
    </i>
    <i>
      <x v="346"/>
      <x v="106"/>
    </i>
    <i t="default">
      <x v="346"/>
    </i>
    <i>
      <x v="347"/>
      <x v="106"/>
    </i>
    <i t="default">
      <x v="347"/>
    </i>
    <i>
      <x v="348"/>
      <x v="78"/>
    </i>
    <i t="default">
      <x v="348"/>
    </i>
    <i>
      <x v="349"/>
      <x v="106"/>
    </i>
    <i t="default">
      <x v="349"/>
    </i>
    <i>
      <x v="350"/>
      <x v="100"/>
    </i>
    <i t="default">
      <x v="350"/>
    </i>
    <i>
      <x v="351"/>
      <x v="106"/>
    </i>
    <i t="default">
      <x v="351"/>
    </i>
    <i>
      <x v="352"/>
      <x v="106"/>
    </i>
    <i t="default">
      <x v="352"/>
    </i>
    <i>
      <x v="353"/>
      <x v="106"/>
    </i>
    <i t="default">
      <x v="353"/>
    </i>
    <i>
      <x v="354"/>
      <x v="106"/>
    </i>
    <i t="default">
      <x v="354"/>
    </i>
    <i>
      <x v="355"/>
      <x v="106"/>
    </i>
    <i t="default">
      <x v="355"/>
    </i>
    <i>
      <x v="356"/>
      <x v="106"/>
    </i>
    <i t="default">
      <x v="356"/>
    </i>
    <i>
      <x v="357"/>
      <x v="106"/>
    </i>
    <i t="default">
      <x v="357"/>
    </i>
    <i>
      <x v="358"/>
      <x v="106"/>
    </i>
    <i t="default">
      <x v="358"/>
    </i>
    <i>
      <x v="359"/>
      <x v="106"/>
    </i>
    <i t="default">
      <x v="359"/>
    </i>
    <i>
      <x v="360"/>
      <x v="106"/>
    </i>
    <i t="default">
      <x v="360"/>
    </i>
    <i>
      <x v="361"/>
      <x v="106"/>
    </i>
    <i t="default">
      <x v="361"/>
    </i>
    <i>
      <x v="362"/>
      <x v="106"/>
    </i>
    <i t="default">
      <x v="362"/>
    </i>
    <i>
      <x v="363"/>
      <x v="18"/>
    </i>
    <i t="default">
      <x v="363"/>
    </i>
    <i>
      <x v="364"/>
      <x v="106"/>
    </i>
    <i t="default">
      <x v="364"/>
    </i>
    <i>
      <x v="365"/>
      <x v="106"/>
    </i>
    <i t="default">
      <x v="365"/>
    </i>
    <i>
      <x v="366"/>
      <x v="106"/>
    </i>
    <i t="default">
      <x v="366"/>
    </i>
    <i t="grand">
      <x/>
    </i>
  </rowItems>
  <colItems count="1">
    <i/>
  </colItems>
  <dataFields count="1">
    <dataField name="Count of Detail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DC3203-5AD1-4CD8-ABFD-18CE2D1BEE34}" name="PivotTable8" cacheId="16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G5" firstHeaderRow="1" firstDataRow="2" firstDataCol="1"/>
  <pivotFields count="11">
    <pivotField axis="axisRow"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Col" compact="0" outline="0" showAll="0">
      <items count="4">
        <item x="2"/>
        <item x="1"/>
        <item x="0"/>
        <item t="default"/>
      </items>
    </pivotField>
    <pivotField compact="0" outline="0" showAll="0"/>
  </pivotFields>
  <rowFields count="1">
    <field x="0"/>
  </rowFields>
  <rowItems count="2">
    <i>
      <x/>
    </i>
    <i t="grand">
      <x/>
    </i>
  </rowItems>
  <colFields count="1">
    <field x="9"/>
  </colFields>
  <colItems count="4">
    <i>
      <x/>
    </i>
    <i>
      <x v="1"/>
    </i>
    <i>
      <x v="2"/>
    </i>
    <i t="grand">
      <x/>
    </i>
  </colItems>
  <dataFields count="1">
    <dataField name="Count of ROS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7E10-3522-4245-9E6A-94D2555A8744}">
  <dimension ref="A1:P380"/>
  <sheetViews>
    <sheetView tabSelected="1" workbookViewId="0">
      <selection sqref="A1:XFD1"/>
    </sheetView>
  </sheetViews>
  <sheetFormatPr defaultRowHeight="15"/>
  <cols>
    <col min="1" max="1" width="18.28515625" customWidth="1"/>
    <col min="2" max="2" width="8.7109375" bestFit="1" customWidth="1"/>
    <col min="3" max="3" width="11.140625" bestFit="1" customWidth="1"/>
    <col min="4" max="4" width="63.85546875" customWidth="1"/>
    <col min="5" max="5" width="125.140625" customWidth="1"/>
    <col min="6" max="6" width="113.85546875" bestFit="1" customWidth="1"/>
    <col min="7" max="7" width="93" bestFit="1" customWidth="1"/>
    <col min="8" max="8" width="137.28515625" bestFit="1" customWidth="1"/>
    <col min="9" max="9" width="131.28515625" bestFit="1" customWidth="1"/>
    <col min="10" max="10" width="37.42578125" style="6" customWidth="1"/>
    <col min="11" max="11" width="21.85546875" customWidth="1"/>
    <col min="12" max="12" width="25.7109375" style="9" customWidth="1"/>
    <col min="13" max="13" width="25.42578125" bestFit="1" customWidth="1"/>
    <col min="14" max="14" width="17.85546875" bestFit="1" customWidth="1"/>
    <col min="15" max="15" width="16.42578125" bestFit="1" customWidth="1"/>
    <col min="16" max="16" width="156.85546875" bestFit="1" customWidth="1"/>
    <col min="17" max="17" width="20.85546875" bestFit="1" customWidth="1"/>
  </cols>
  <sheetData>
    <row r="1" spans="1:16" s="1" customFormat="1" ht="29.25">
      <c r="A1" s="1" t="s">
        <v>0</v>
      </c>
      <c r="B1" s="1" t="s">
        <v>1</v>
      </c>
      <c r="C1" s="1" t="s">
        <v>2</v>
      </c>
      <c r="D1" s="1" t="s">
        <v>3</v>
      </c>
      <c r="E1" s="1" t="s">
        <v>4</v>
      </c>
      <c r="F1" s="1" t="s">
        <v>5</v>
      </c>
      <c r="G1" s="1" t="s">
        <v>6</v>
      </c>
      <c r="H1" s="1" t="s">
        <v>7</v>
      </c>
      <c r="I1" s="1" t="s">
        <v>8</v>
      </c>
      <c r="J1" s="5" t="s">
        <v>9</v>
      </c>
      <c r="K1" s="1" t="s">
        <v>10</v>
      </c>
      <c r="L1" s="7" t="s">
        <v>11</v>
      </c>
      <c r="M1" s="1" t="s">
        <v>12</v>
      </c>
      <c r="N1" s="1" t="s">
        <v>13</v>
      </c>
      <c r="O1" s="1" t="s">
        <v>14</v>
      </c>
      <c r="P1" s="1" t="s">
        <v>15</v>
      </c>
    </row>
    <row r="2" spans="1:16" ht="32.25" customHeight="1">
      <c r="A2" t="s">
        <v>16</v>
      </c>
      <c r="B2">
        <v>7096937</v>
      </c>
      <c r="C2" t="s">
        <v>17</v>
      </c>
      <c r="D2" s="4" t="s">
        <v>18</v>
      </c>
      <c r="E2" t="s">
        <v>19</v>
      </c>
      <c r="F2" t="s">
        <v>20</v>
      </c>
      <c r="G2" s="4" t="s">
        <v>21</v>
      </c>
      <c r="H2" t="s">
        <v>22</v>
      </c>
      <c r="I2" t="s">
        <v>23</v>
      </c>
      <c r="J2" s="6" t="str">
        <f>IF(ISNUMBER(SEARCH("NULL",G2)),"ROSL CLAIMED",
IF(ISNUMBER(SEARCH("ROSL NOT CLAIMED",G2)),"ROSL NOT CLAIMED","NULL"))</f>
        <v>ROSL NOT CLAIMED</v>
      </c>
      <c r="K2" s="6" t="str">
        <f>IF(J2="","",IF(J2="ROSL CLAIMED","ROSL CLAIMED","ROSL NOT CLAIMED"))</f>
        <v>ROSL NOT CLAIMED</v>
      </c>
      <c r="L2" s="8" t="str">
        <f>IFERROR(MID(D2, SEARCH("06", D2), 15), "NULL")</f>
        <v>NULL</v>
      </c>
      <c r="M2" s="6">
        <f>IF(K2="","",IF(K2="ROSL CLAIMED",1,IF(K2="ROSL NOT CLAIMED",0,"")))</f>
        <v>0</v>
      </c>
      <c r="N2" s="9">
        <f ca="1">IF(C2&lt;&gt;"", TODAY()-C2, "")</f>
        <v>3065</v>
      </c>
      <c r="O2" s="6" t="str">
        <f>IF(H2=0,"Missing GST", IF(H2&gt;0,"GST Paid",""))</f>
        <v>GST Paid</v>
      </c>
      <c r="P2" t="str">
        <f>CONCATENATE(A2," - ",E2)</f>
        <v xml:space="preserve">TUGLAKABAD ICD (INTKD6) - Current Que LEO Date EP Copy Print Status DBK Scroll No Scroll Date EGM Integration Status
HIST  12 JUL 2017 00:07  Y  21243/2017  28 AUG 2017 00:08  Y </v>
      </c>
    </row>
    <row r="3" spans="1:16">
      <c r="A3" t="s">
        <v>16</v>
      </c>
      <c r="B3">
        <v>7100605</v>
      </c>
      <c r="C3" t="s">
        <v>17</v>
      </c>
      <c r="D3" t="s">
        <v>24</v>
      </c>
      <c r="E3" t="s">
        <v>25</v>
      </c>
      <c r="F3" t="s">
        <v>26</v>
      </c>
      <c r="G3" t="s">
        <v>21</v>
      </c>
      <c r="H3" t="s">
        <v>27</v>
      </c>
      <c r="I3" t="s">
        <v>28</v>
      </c>
      <c r="J3" s="6" t="str">
        <f t="shared" ref="J3:J66" si="0">IF(ISNUMBER(SEARCH("NULL",G3)),"ROSL CLAIMED",
IF(ISNUMBER(SEARCH("ROSL NOT CLAIMED",G3)),"ROSL NOT CLAIMED","NULL"))</f>
        <v>ROSL NOT CLAIMED</v>
      </c>
      <c r="K3" s="6" t="str">
        <f>IF(J3="","",IF(J3="ROSL CLAIMED","ROSL CLAIMED","ROSL NOT CLAIMED"))</f>
        <v>ROSL NOT CLAIMED</v>
      </c>
      <c r="L3" s="8" t="str">
        <f t="shared" ref="L3:L66" si="1">IFERROR(MID(D3, SEARCH("06", D3), 15), "NULL")</f>
        <v>NULL</v>
      </c>
      <c r="M3" s="6">
        <f t="shared" ref="M3:M66" si="2">IF(K3="","",IF(K3="ROSL CLAIMED",1,IF(K3="ROSL NOT CLAIMED",0,"")))</f>
        <v>0</v>
      </c>
      <c r="N3" s="9">
        <f t="shared" ref="N3:N66" ca="1" si="3">IF(C3&lt;&gt;"", TODAY()-C3, "")</f>
        <v>3065</v>
      </c>
      <c r="O3" s="6" t="str">
        <f t="shared" ref="O3:O66" si="4">IF(H3=0,"Missing GST", IF(H3&gt;0,"GST Paid",""))</f>
        <v>GST Paid</v>
      </c>
      <c r="P3" t="str">
        <f t="shared" ref="P3:P66" si="5">CONCATENATE(A3," - ",E3)</f>
        <v xml:space="preserve">TUGLAKABAD ICD (INTKD6) - Current Que LEO Date EP Copy Print Status DBK Scroll No Scroll Date EGM Integration Status
HIST  04 JUL 2017 00:07  Y  21243/2017  28 AUG 2017 00:08  Y </v>
      </c>
    </row>
    <row r="4" spans="1:16">
      <c r="A4" t="s">
        <v>16</v>
      </c>
      <c r="B4">
        <v>7183827</v>
      </c>
      <c r="C4" t="s">
        <v>29</v>
      </c>
      <c r="D4" t="s">
        <v>30</v>
      </c>
      <c r="E4" t="s">
        <v>31</v>
      </c>
      <c r="F4" t="s">
        <v>32</v>
      </c>
      <c r="G4" t="s">
        <v>21</v>
      </c>
      <c r="H4" t="s">
        <v>33</v>
      </c>
      <c r="I4" t="s">
        <v>34</v>
      </c>
      <c r="J4" s="6" t="str">
        <f t="shared" si="0"/>
        <v>ROSL NOT CLAIMED</v>
      </c>
      <c r="K4" s="6" t="str">
        <f>IF(J4="","",IF(J4="ROSL CLAIMED","ROSL CLAIMED","ROSL NOT CLAIMED"))</f>
        <v>ROSL NOT CLAIMED</v>
      </c>
      <c r="L4" s="8" t="str">
        <f t="shared" si="1"/>
        <v>06074994  AMMPS</v>
      </c>
      <c r="M4" s="6">
        <f t="shared" si="2"/>
        <v>0</v>
      </c>
      <c r="N4" s="9">
        <f t="shared" ca="1" si="3"/>
        <v>3060</v>
      </c>
      <c r="O4" s="6" t="str">
        <f t="shared" si="4"/>
        <v>GST Paid</v>
      </c>
      <c r="P4" t="str">
        <f t="shared" si="5"/>
        <v xml:space="preserve">TUGLAKABAD ICD (INTKD6) - Current Que LEO Date EP Copy Print Status DBK Scroll No Scroll Date EGM Integration Status
HIST  07 JUL 2017 00:07  Y  21243/2017  28 AUG 2017 00:08  Y </v>
      </c>
    </row>
    <row r="5" spans="1:16">
      <c r="A5" t="s">
        <v>16</v>
      </c>
      <c r="B5">
        <v>7603758</v>
      </c>
      <c r="C5" t="s">
        <v>35</v>
      </c>
      <c r="D5" t="s">
        <v>36</v>
      </c>
      <c r="E5" t="s">
        <v>37</v>
      </c>
      <c r="F5" t="s">
        <v>38</v>
      </c>
      <c r="G5" t="s">
        <v>39</v>
      </c>
      <c r="H5" t="s">
        <v>40</v>
      </c>
      <c r="I5" t="s">
        <v>34</v>
      </c>
      <c r="J5" s="6" t="str">
        <f>IF(ISNUMBER(SEARCH("NULL",G5)),"ROSL CLAIMED",
IF(ISNUMBER(SEARCH("ROSL NOT CLAIMED",G5)),"ROSL NOT CLAIMED","NULL"))</f>
        <v>ROSL CLAIMED</v>
      </c>
      <c r="K5" s="6" t="str">
        <f>IF(J5="","",IF(J5="ROSL CLAIMED","ROSL CLAIMED","ROSL NOT CLAIMED"))</f>
        <v>ROSL CLAIMED</v>
      </c>
      <c r="L5" s="8" t="str">
        <f t="shared" si="1"/>
        <v>NULL</v>
      </c>
      <c r="M5" s="6">
        <f t="shared" si="2"/>
        <v>1</v>
      </c>
      <c r="N5" s="9">
        <f t="shared" ca="1" si="3"/>
        <v>3040</v>
      </c>
      <c r="O5" s="6" t="str">
        <f t="shared" si="4"/>
        <v>GST Paid</v>
      </c>
      <c r="P5" t="str">
        <f t="shared" si="5"/>
        <v xml:space="preserve">TUGLAKABAD ICD (INTKD6) - Current Que LEO Date EP Copy Print Status DBK Scroll No Scroll Date EGM Integration Status
HIST  27 JUL 2017 00:07  R  N.A.  N.A.  Y </v>
      </c>
    </row>
    <row r="6" spans="1:16">
      <c r="A6" t="s">
        <v>16</v>
      </c>
      <c r="B6">
        <v>7616933</v>
      </c>
      <c r="C6" t="s">
        <v>35</v>
      </c>
      <c r="D6" t="s">
        <v>41</v>
      </c>
      <c r="E6" t="s">
        <v>42</v>
      </c>
      <c r="F6" t="s">
        <v>43</v>
      </c>
      <c r="G6" t="s">
        <v>21</v>
      </c>
      <c r="H6" t="s">
        <v>44</v>
      </c>
      <c r="I6" t="s">
        <v>45</v>
      </c>
      <c r="J6" s="6" t="str">
        <f t="shared" si="0"/>
        <v>ROSL NOT CLAIMED</v>
      </c>
      <c r="K6" s="6" t="str">
        <f>IF(J6="","",IF(J6="ROSL CLAIMED","ROSL CLAIMED","ROSL NOT CLAIMED"))</f>
        <v>ROSL NOT CLAIMED</v>
      </c>
      <c r="L6" s="8" t="str">
        <f t="shared" si="1"/>
        <v>NULL</v>
      </c>
      <c r="M6" s="6">
        <f t="shared" si="2"/>
        <v>0</v>
      </c>
      <c r="N6" s="9">
        <f t="shared" ca="1" si="3"/>
        <v>3040</v>
      </c>
      <c r="O6" s="6" t="str">
        <f t="shared" si="4"/>
        <v>GST Paid</v>
      </c>
      <c r="P6" t="str">
        <f t="shared" si="5"/>
        <v xml:space="preserve">TUGLAKABAD ICD (INTKD6) - Current Que LEO Date EP Copy Print Status DBK Scroll No Scroll Date EGM Integration Status
HIST  28 JUL 2017 00:07  Y  21484/2017  07 SEP 2017 00:09  Y </v>
      </c>
    </row>
    <row r="7" spans="1:16">
      <c r="A7" t="s">
        <v>16</v>
      </c>
      <c r="B7">
        <v>7623801</v>
      </c>
      <c r="C7" t="s">
        <v>46</v>
      </c>
      <c r="D7" t="s">
        <v>47</v>
      </c>
      <c r="E7" t="s">
        <v>48</v>
      </c>
      <c r="F7" t="s">
        <v>49</v>
      </c>
      <c r="G7" t="s">
        <v>21</v>
      </c>
      <c r="H7" t="s">
        <v>50</v>
      </c>
      <c r="I7" t="s">
        <v>51</v>
      </c>
      <c r="J7" s="6" t="str">
        <f t="shared" si="0"/>
        <v>ROSL NOT CLAIMED</v>
      </c>
      <c r="K7" s="6" t="str">
        <f>IF(J7="","",IF(J7="ROSL CLAIMED","ROSL CLAIMED","ROSL NOT CLAIMED"))</f>
        <v>ROSL NOT CLAIMED</v>
      </c>
      <c r="L7" s="8" t="str">
        <f t="shared" si="1"/>
        <v>NULL</v>
      </c>
      <c r="M7" s="6">
        <f t="shared" si="2"/>
        <v>0</v>
      </c>
      <c r="N7" s="9">
        <f t="shared" ca="1" si="3"/>
        <v>3039</v>
      </c>
      <c r="O7" s="6" t="str">
        <f t="shared" si="4"/>
        <v>GST Paid</v>
      </c>
      <c r="P7" t="str">
        <f t="shared" si="5"/>
        <v xml:space="preserve">TUGLAKABAD ICD (INTKD6) - Current Que LEO Date EP Copy Print Status DBK Scroll No Scroll Date EGM Integration Status
HIST  28 JUL 2017 00:07  Y  22528/2017  10 NOV 2017 00:11  Y </v>
      </c>
    </row>
    <row r="8" spans="1:16">
      <c r="A8" t="s">
        <v>16</v>
      </c>
      <c r="B8">
        <v>7638661</v>
      </c>
      <c r="C8" t="s">
        <v>46</v>
      </c>
      <c r="D8" t="s">
        <v>52</v>
      </c>
      <c r="E8" t="s">
        <v>53</v>
      </c>
      <c r="F8" t="s">
        <v>54</v>
      </c>
      <c r="G8" t="s">
        <v>39</v>
      </c>
      <c r="H8" t="s">
        <v>55</v>
      </c>
      <c r="I8" t="s">
        <v>34</v>
      </c>
      <c r="J8" s="6" t="str">
        <f t="shared" si="0"/>
        <v>ROSL CLAIMED</v>
      </c>
      <c r="K8" s="6" t="str">
        <f>IF(J8="","",IF(J8="ROSL CLAIMED","ROSL CLAIMED","ROSL NOT CLAIMED"))</f>
        <v>ROSL CLAIMED</v>
      </c>
      <c r="L8" s="8" t="str">
        <f t="shared" si="1"/>
        <v>06070484  AATPS</v>
      </c>
      <c r="M8" s="6">
        <f t="shared" si="2"/>
        <v>1</v>
      </c>
      <c r="N8" s="9">
        <f t="shared" ca="1" si="3"/>
        <v>3039</v>
      </c>
      <c r="O8" s="6" t="str">
        <f t="shared" si="4"/>
        <v>GST Paid</v>
      </c>
      <c r="P8" t="str">
        <f t="shared" si="5"/>
        <v xml:space="preserve">TUGLAKABAD ICD (INTKD6) - Current Que LEO Date EP Copy Print Status DBK Scroll No Scroll Date EGM Integration Status
HIST  31 JUL 2017 00:07  Y  N.A.  N.A.  Y </v>
      </c>
    </row>
    <row r="9" spans="1:16">
      <c r="A9" t="s">
        <v>16</v>
      </c>
      <c r="B9">
        <v>7640213</v>
      </c>
      <c r="C9" t="s">
        <v>46</v>
      </c>
      <c r="D9" t="s">
        <v>56</v>
      </c>
      <c r="E9" t="s">
        <v>57</v>
      </c>
      <c r="F9" t="s">
        <v>58</v>
      </c>
      <c r="G9" t="s">
        <v>21</v>
      </c>
      <c r="H9" t="s">
        <v>59</v>
      </c>
      <c r="I9" t="s">
        <v>60</v>
      </c>
      <c r="J9" s="6" t="str">
        <f t="shared" si="0"/>
        <v>ROSL NOT CLAIMED</v>
      </c>
      <c r="K9" s="6" t="str">
        <f>IF(J9="","",IF(J9="ROSL CLAIMED","ROSL CLAIMED","ROSL NOT CLAIMED"))</f>
        <v>ROSL NOT CLAIMED</v>
      </c>
      <c r="L9" s="8" t="str">
        <f t="shared" si="1"/>
        <v>NULL</v>
      </c>
      <c r="M9" s="6">
        <f t="shared" si="2"/>
        <v>0</v>
      </c>
      <c r="N9" s="9">
        <f t="shared" ca="1" si="3"/>
        <v>3039</v>
      </c>
      <c r="O9" s="6" t="str">
        <f t="shared" si="4"/>
        <v>GST Paid</v>
      </c>
      <c r="P9" t="str">
        <f t="shared" si="5"/>
        <v xml:space="preserve">TUGLAKABAD ICD (INTKD6) - Current Que LEO Date EP Copy Print Status DBK Scroll No Scroll Date EGM Integration Status
HIST  29 JUL 2017 00:07  Y  21484/2017  07 SEP 2017 00:09  Y </v>
      </c>
    </row>
    <row r="10" spans="1:16">
      <c r="A10" t="s">
        <v>16</v>
      </c>
      <c r="B10">
        <v>7641404</v>
      </c>
      <c r="C10" t="s">
        <v>46</v>
      </c>
      <c r="D10" t="s">
        <v>61</v>
      </c>
      <c r="E10" t="s">
        <v>57</v>
      </c>
      <c r="F10" t="s">
        <v>62</v>
      </c>
      <c r="G10" t="s">
        <v>21</v>
      </c>
      <c r="H10" t="s">
        <v>63</v>
      </c>
      <c r="I10" t="s">
        <v>64</v>
      </c>
      <c r="J10" s="6" t="str">
        <f t="shared" si="0"/>
        <v>ROSL NOT CLAIMED</v>
      </c>
      <c r="K10" s="6" t="str">
        <f>IF(J10="","",IF(J10="ROSL CLAIMED","ROSL CLAIMED","ROSL NOT CLAIMED"))</f>
        <v>ROSL NOT CLAIMED</v>
      </c>
      <c r="L10" s="8" t="str">
        <f t="shared" si="1"/>
        <v>NULL</v>
      </c>
      <c r="M10" s="6">
        <f t="shared" si="2"/>
        <v>0</v>
      </c>
      <c r="N10" s="9">
        <f t="shared" ca="1" si="3"/>
        <v>3039</v>
      </c>
      <c r="O10" s="6" t="str">
        <f t="shared" si="4"/>
        <v>GST Paid</v>
      </c>
      <c r="P10" t="str">
        <f t="shared" si="5"/>
        <v xml:space="preserve">TUGLAKABAD ICD (INTKD6) - Current Que LEO Date EP Copy Print Status DBK Scroll No Scroll Date EGM Integration Status
HIST  29 JUL 2017 00:07  Y  21484/2017  07 SEP 2017 00:09  Y </v>
      </c>
    </row>
    <row r="11" spans="1:16">
      <c r="A11" t="s">
        <v>16</v>
      </c>
      <c r="B11">
        <v>7641415</v>
      </c>
      <c r="C11" t="s">
        <v>46</v>
      </c>
      <c r="D11" t="s">
        <v>65</v>
      </c>
      <c r="E11" t="s">
        <v>57</v>
      </c>
      <c r="F11" t="s">
        <v>62</v>
      </c>
      <c r="G11" t="s">
        <v>21</v>
      </c>
      <c r="H11" t="s">
        <v>66</v>
      </c>
      <c r="I11" t="s">
        <v>64</v>
      </c>
      <c r="J11" s="6" t="str">
        <f t="shared" si="0"/>
        <v>ROSL NOT CLAIMED</v>
      </c>
      <c r="K11" s="6" t="str">
        <f>IF(J11="","",IF(J11="ROSL CLAIMED","ROSL CLAIMED","ROSL NOT CLAIMED"))</f>
        <v>ROSL NOT CLAIMED</v>
      </c>
      <c r="L11" s="8" t="str">
        <f t="shared" si="1"/>
        <v>NULL</v>
      </c>
      <c r="M11" s="6">
        <f t="shared" si="2"/>
        <v>0</v>
      </c>
      <c r="N11" s="9">
        <f t="shared" ca="1" si="3"/>
        <v>3039</v>
      </c>
      <c r="O11" s="6" t="str">
        <f t="shared" si="4"/>
        <v>GST Paid</v>
      </c>
      <c r="P11" t="str">
        <f t="shared" si="5"/>
        <v xml:space="preserve">TUGLAKABAD ICD (INTKD6) - Current Que LEO Date EP Copy Print Status DBK Scroll No Scroll Date EGM Integration Status
HIST  29 JUL 2017 00:07  Y  21484/2017  07 SEP 2017 00:09  Y </v>
      </c>
    </row>
    <row r="12" spans="1:16">
      <c r="A12" t="s">
        <v>16</v>
      </c>
      <c r="B12">
        <v>7642279</v>
      </c>
      <c r="C12" t="s">
        <v>46</v>
      </c>
      <c r="D12" t="s">
        <v>67</v>
      </c>
      <c r="E12" t="s">
        <v>57</v>
      </c>
      <c r="F12" t="s">
        <v>68</v>
      </c>
      <c r="G12" t="s">
        <v>21</v>
      </c>
      <c r="H12" t="s">
        <v>69</v>
      </c>
      <c r="I12" t="s">
        <v>64</v>
      </c>
      <c r="J12" s="6" t="str">
        <f t="shared" si="0"/>
        <v>ROSL NOT CLAIMED</v>
      </c>
      <c r="K12" s="6" t="str">
        <f>IF(J12="","",IF(J12="ROSL CLAIMED","ROSL CLAIMED","ROSL NOT CLAIMED"))</f>
        <v>ROSL NOT CLAIMED</v>
      </c>
      <c r="L12" s="8" t="str">
        <f t="shared" si="1"/>
        <v>NULL</v>
      </c>
      <c r="M12" s="6">
        <f t="shared" si="2"/>
        <v>0</v>
      </c>
      <c r="N12" s="9">
        <f t="shared" ca="1" si="3"/>
        <v>3039</v>
      </c>
      <c r="O12" s="6" t="str">
        <f t="shared" si="4"/>
        <v>GST Paid</v>
      </c>
      <c r="P12" t="str">
        <f t="shared" si="5"/>
        <v xml:space="preserve">TUGLAKABAD ICD (INTKD6) - Current Que LEO Date EP Copy Print Status DBK Scroll No Scroll Date EGM Integration Status
HIST  29 JUL 2017 00:07  Y  21484/2017  07 SEP 2017 00:09  Y </v>
      </c>
    </row>
    <row r="13" spans="1:16">
      <c r="A13" t="s">
        <v>16</v>
      </c>
      <c r="B13">
        <v>7646561</v>
      </c>
      <c r="C13" t="s">
        <v>70</v>
      </c>
      <c r="D13" t="s">
        <v>71</v>
      </c>
      <c r="E13" t="s">
        <v>72</v>
      </c>
      <c r="F13" t="s">
        <v>73</v>
      </c>
      <c r="G13" t="s">
        <v>21</v>
      </c>
      <c r="H13" t="s">
        <v>74</v>
      </c>
      <c r="I13" t="s">
        <v>45</v>
      </c>
      <c r="J13" s="6" t="str">
        <f t="shared" si="0"/>
        <v>ROSL NOT CLAIMED</v>
      </c>
      <c r="K13" s="6" t="str">
        <f>IF(J13="","",IF(J13="ROSL CLAIMED","ROSL CLAIMED","ROSL NOT CLAIMED"))</f>
        <v>ROSL NOT CLAIMED</v>
      </c>
      <c r="L13" s="8" t="str">
        <f t="shared" si="1"/>
        <v>NULL</v>
      </c>
      <c r="M13" s="6">
        <f t="shared" si="2"/>
        <v>0</v>
      </c>
      <c r="N13" s="9">
        <f t="shared" ca="1" si="3"/>
        <v>3038</v>
      </c>
      <c r="O13" s="6" t="str">
        <f t="shared" si="4"/>
        <v>GST Paid</v>
      </c>
      <c r="P13" t="str">
        <f t="shared" si="5"/>
        <v xml:space="preserve">TUGLAKABAD ICD (INTKD6) - Current Que LEO Date EP Copy Print Status DBK Scroll No Scroll Date EGM Integration Status
HIST  31 JUL 2017 00:07  Y  22032/2017  06 OCT 2017 00:10  Y </v>
      </c>
    </row>
    <row r="14" spans="1:16">
      <c r="A14" t="s">
        <v>16</v>
      </c>
      <c r="B14">
        <v>7649257</v>
      </c>
      <c r="C14" t="s">
        <v>70</v>
      </c>
      <c r="D14" t="s">
        <v>75</v>
      </c>
      <c r="E14" t="s">
        <v>76</v>
      </c>
      <c r="F14" t="s">
        <v>77</v>
      </c>
      <c r="G14" t="s">
        <v>21</v>
      </c>
      <c r="H14" t="s">
        <v>78</v>
      </c>
      <c r="I14" t="s">
        <v>45</v>
      </c>
      <c r="J14" s="6" t="str">
        <f t="shared" si="0"/>
        <v>ROSL NOT CLAIMED</v>
      </c>
      <c r="K14" s="6" t="str">
        <f>IF(J14="","",IF(J14="ROSL CLAIMED","ROSL CLAIMED","ROSL NOT CLAIMED"))</f>
        <v>ROSL NOT CLAIMED</v>
      </c>
      <c r="L14" s="8" t="str">
        <f t="shared" si="1"/>
        <v>NULL</v>
      </c>
      <c r="M14" s="6">
        <f t="shared" si="2"/>
        <v>0</v>
      </c>
      <c r="N14" s="9">
        <f t="shared" ca="1" si="3"/>
        <v>3038</v>
      </c>
      <c r="O14" s="6" t="str">
        <f t="shared" si="4"/>
        <v>GST Paid</v>
      </c>
      <c r="P14" t="str">
        <f t="shared" si="5"/>
        <v xml:space="preserve">TUGLAKABAD ICD (INTKD6) - Current Que LEO Date EP Copy Print Status DBK Scroll No Scroll Date EGM Integration Status
HIST  31 JUL 2017 00:07  Y  21484/2017  07 SEP 2017 00:09  Y </v>
      </c>
    </row>
    <row r="15" spans="1:16">
      <c r="A15" t="s">
        <v>16</v>
      </c>
      <c r="B15">
        <v>7662086</v>
      </c>
      <c r="C15" t="s">
        <v>70</v>
      </c>
      <c r="D15" t="s">
        <v>79</v>
      </c>
      <c r="E15" t="s">
        <v>80</v>
      </c>
      <c r="F15" t="s">
        <v>81</v>
      </c>
      <c r="G15" t="s">
        <v>21</v>
      </c>
      <c r="H15" t="s">
        <v>82</v>
      </c>
      <c r="I15" t="s">
        <v>83</v>
      </c>
      <c r="J15" s="6" t="str">
        <f t="shared" si="0"/>
        <v>ROSL NOT CLAIMED</v>
      </c>
      <c r="K15" s="6" t="str">
        <f>IF(J15="","",IF(J15="ROSL CLAIMED","ROSL CLAIMED","ROSL NOT CLAIMED"))</f>
        <v>ROSL NOT CLAIMED</v>
      </c>
      <c r="L15" s="8" t="str">
        <f t="shared" si="1"/>
        <v>NULL</v>
      </c>
      <c r="M15" s="6">
        <f t="shared" si="2"/>
        <v>0</v>
      </c>
      <c r="N15" s="9">
        <f t="shared" ca="1" si="3"/>
        <v>3038</v>
      </c>
      <c r="O15" s="6" t="str">
        <f t="shared" si="4"/>
        <v>GST Paid</v>
      </c>
      <c r="P15" t="str">
        <f t="shared" si="5"/>
        <v xml:space="preserve">TUGLAKABAD ICD (INTKD6) - Current Que LEO Date EP Copy Print Status DBK Scroll No Scroll Date EGM Integration Status
HIST  02 AUG 2017 00:08  Y  21484/2017  07 SEP 2017 00:09  Y </v>
      </c>
    </row>
    <row r="16" spans="1:16">
      <c r="A16" t="s">
        <v>16</v>
      </c>
      <c r="B16">
        <v>7690771</v>
      </c>
      <c r="C16" t="s">
        <v>84</v>
      </c>
      <c r="D16" t="s">
        <v>85</v>
      </c>
      <c r="E16" t="s">
        <v>86</v>
      </c>
      <c r="F16" t="s">
        <v>87</v>
      </c>
      <c r="G16" t="s">
        <v>21</v>
      </c>
      <c r="H16" t="s">
        <v>88</v>
      </c>
      <c r="I16" t="s">
        <v>89</v>
      </c>
      <c r="J16" s="6" t="str">
        <f t="shared" si="0"/>
        <v>ROSL NOT CLAIMED</v>
      </c>
      <c r="K16" s="6" t="str">
        <f>IF(J16="","",IF(J16="ROSL CLAIMED","ROSL CLAIMED","ROSL NOT CLAIMED"))</f>
        <v>ROSL NOT CLAIMED</v>
      </c>
      <c r="L16" s="8" t="str">
        <f t="shared" si="1"/>
        <v>06046231  ADFFS</v>
      </c>
      <c r="M16" s="6">
        <f t="shared" si="2"/>
        <v>0</v>
      </c>
      <c r="N16" s="9">
        <f t="shared" ca="1" si="3"/>
        <v>3037</v>
      </c>
      <c r="O16" s="6" t="str">
        <f t="shared" si="4"/>
        <v>GST Paid</v>
      </c>
      <c r="P16" t="str">
        <f t="shared" si="5"/>
        <v xml:space="preserve">TUGLAKABAD ICD (INTKD6) - Current Que LEO Date EP Copy Print Status DBK Scroll No Scroll Date EGM Integration Status
HIST  01 AUG 2017 00:08  Y  29620/2018  13 SEP 2018 00:09  Y </v>
      </c>
    </row>
    <row r="17" spans="1:16">
      <c r="A17" t="s">
        <v>16</v>
      </c>
      <c r="B17">
        <v>7692707</v>
      </c>
      <c r="C17" t="s">
        <v>84</v>
      </c>
      <c r="D17" t="s">
        <v>90</v>
      </c>
      <c r="E17" t="s">
        <v>91</v>
      </c>
      <c r="F17" t="s">
        <v>92</v>
      </c>
      <c r="G17" t="s">
        <v>21</v>
      </c>
      <c r="H17" t="s">
        <v>93</v>
      </c>
      <c r="I17" t="s">
        <v>94</v>
      </c>
      <c r="J17" s="6" t="str">
        <f t="shared" si="0"/>
        <v>ROSL NOT CLAIMED</v>
      </c>
      <c r="K17" s="6" t="str">
        <f>IF(J17="","",IF(J17="ROSL CLAIMED","ROSL CLAIMED","ROSL NOT CLAIMED"))</f>
        <v>ROSL NOT CLAIMED</v>
      </c>
      <c r="L17" s="8" t="str">
        <f t="shared" si="1"/>
        <v>NULL</v>
      </c>
      <c r="M17" s="6">
        <f t="shared" si="2"/>
        <v>0</v>
      </c>
      <c r="N17" s="9">
        <f t="shared" ca="1" si="3"/>
        <v>3037</v>
      </c>
      <c r="O17" s="6" t="str">
        <f t="shared" si="4"/>
        <v>GST Paid</v>
      </c>
      <c r="P17" t="str">
        <f t="shared" si="5"/>
        <v xml:space="preserve">TUGLAKABAD ICD (INTKD6) - Current Que LEO Date EP Copy Print Status DBK Scroll No Scroll Date EGM Integration Status
HIST  04 AUG 2017 00:08  Y  21593/2017  12 SEP 2017 00:09  Y </v>
      </c>
    </row>
    <row r="18" spans="1:16">
      <c r="A18" t="s">
        <v>16</v>
      </c>
      <c r="B18">
        <v>7703453</v>
      </c>
      <c r="C18" t="s">
        <v>95</v>
      </c>
      <c r="D18" t="s">
        <v>96</v>
      </c>
      <c r="E18" t="s">
        <v>97</v>
      </c>
      <c r="F18" t="s">
        <v>98</v>
      </c>
      <c r="G18" t="s">
        <v>21</v>
      </c>
      <c r="H18" t="s">
        <v>99</v>
      </c>
      <c r="I18" t="s">
        <v>34</v>
      </c>
      <c r="J18" s="6" t="str">
        <f t="shared" si="0"/>
        <v>ROSL NOT CLAIMED</v>
      </c>
      <c r="K18" s="6" t="str">
        <f>IF(J18="","",IF(J18="ROSL CLAIMED","ROSL CLAIMED","ROSL NOT CLAIMED"))</f>
        <v>ROSL NOT CLAIMED</v>
      </c>
      <c r="L18" s="8" t="str">
        <f t="shared" si="1"/>
        <v>NULL</v>
      </c>
      <c r="M18" s="6">
        <f t="shared" si="2"/>
        <v>0</v>
      </c>
      <c r="N18" s="9">
        <f t="shared" ca="1" si="3"/>
        <v>3035</v>
      </c>
      <c r="O18" s="6" t="str">
        <f t="shared" si="4"/>
        <v>GST Paid</v>
      </c>
      <c r="P18" t="str">
        <f t="shared" si="5"/>
        <v xml:space="preserve">TUGLAKABAD ICD (INTKD6) - Current Que LEO Date EP Copy Print Status DBK Scroll No Scroll Date EGM Integration Status
HIST  03 AUG 2017 00:08  Y  21593/2017  12 SEP 2017 00:09  Y </v>
      </c>
    </row>
    <row r="19" spans="1:16">
      <c r="A19" t="s">
        <v>16</v>
      </c>
      <c r="B19">
        <v>7712075</v>
      </c>
      <c r="C19" t="s">
        <v>95</v>
      </c>
      <c r="D19" t="s">
        <v>100</v>
      </c>
      <c r="E19" t="s">
        <v>80</v>
      </c>
      <c r="F19" t="s">
        <v>101</v>
      </c>
      <c r="G19" t="s">
        <v>21</v>
      </c>
      <c r="H19" t="s">
        <v>102</v>
      </c>
      <c r="I19" t="s">
        <v>103</v>
      </c>
      <c r="J19" s="6" t="str">
        <f t="shared" si="0"/>
        <v>ROSL NOT CLAIMED</v>
      </c>
      <c r="K19" s="6" t="str">
        <f>IF(J19="","",IF(J19="ROSL CLAIMED","ROSL CLAIMED","ROSL NOT CLAIMED"))</f>
        <v>ROSL NOT CLAIMED</v>
      </c>
      <c r="L19" s="8" t="str">
        <f t="shared" si="1"/>
        <v>NULL</v>
      </c>
      <c r="M19" s="6">
        <f t="shared" si="2"/>
        <v>0</v>
      </c>
      <c r="N19" s="9">
        <f t="shared" ca="1" si="3"/>
        <v>3035</v>
      </c>
      <c r="O19" s="6" t="str">
        <f t="shared" si="4"/>
        <v>GST Paid</v>
      </c>
      <c r="P19" t="str">
        <f t="shared" si="5"/>
        <v xml:space="preserve">TUGLAKABAD ICD (INTKD6) - Current Que LEO Date EP Copy Print Status DBK Scroll No Scroll Date EGM Integration Status
HIST  02 AUG 2017 00:08  Y  21484/2017  07 SEP 2017 00:09  Y </v>
      </c>
    </row>
    <row r="20" spans="1:16">
      <c r="A20" t="s">
        <v>16</v>
      </c>
      <c r="B20">
        <v>7718281</v>
      </c>
      <c r="C20" t="s">
        <v>95</v>
      </c>
      <c r="D20" t="s">
        <v>104</v>
      </c>
      <c r="E20" t="s">
        <v>105</v>
      </c>
      <c r="F20" t="s">
        <v>106</v>
      </c>
      <c r="G20" t="s">
        <v>21</v>
      </c>
      <c r="H20" t="s">
        <v>107</v>
      </c>
      <c r="I20" t="s">
        <v>108</v>
      </c>
      <c r="J20" s="6" t="str">
        <f t="shared" si="0"/>
        <v>ROSL NOT CLAIMED</v>
      </c>
      <c r="K20" s="6" t="str">
        <f>IF(J20="","",IF(J20="ROSL CLAIMED","ROSL CLAIMED","ROSL NOT CLAIMED"))</f>
        <v>ROSL NOT CLAIMED</v>
      </c>
      <c r="L20" s="8" t="str">
        <f t="shared" si="1"/>
        <v>NULL</v>
      </c>
      <c r="M20" s="6">
        <f t="shared" si="2"/>
        <v>0</v>
      </c>
      <c r="N20" s="9">
        <f t="shared" ca="1" si="3"/>
        <v>3035</v>
      </c>
      <c r="O20" s="6" t="str">
        <f t="shared" si="4"/>
        <v>GST Paid</v>
      </c>
      <c r="P20" t="str">
        <f t="shared" si="5"/>
        <v xml:space="preserve">TUGLAKABAD ICD (INTKD6) - Current Que LEO Date EP Copy Print Status DBK Scroll No Scroll Date EGM Integration Status
HIST  02 AUG 2017 00:08  Y  21593/2017  12 SEP 2017 00:09  Y </v>
      </c>
    </row>
    <row r="21" spans="1:16">
      <c r="A21" t="s">
        <v>16</v>
      </c>
      <c r="B21">
        <v>7721241</v>
      </c>
      <c r="C21" t="s">
        <v>95</v>
      </c>
      <c r="D21" t="s">
        <v>109</v>
      </c>
      <c r="E21" t="s">
        <v>110</v>
      </c>
      <c r="F21" t="s">
        <v>111</v>
      </c>
      <c r="G21" t="s">
        <v>21</v>
      </c>
      <c r="H21" t="s">
        <v>112</v>
      </c>
      <c r="I21" t="s">
        <v>113</v>
      </c>
      <c r="J21" s="6" t="str">
        <f t="shared" si="0"/>
        <v>ROSL NOT CLAIMED</v>
      </c>
      <c r="K21" s="6" t="str">
        <f>IF(J21="","",IF(J21="ROSL CLAIMED","ROSL CLAIMED","ROSL NOT CLAIMED"))</f>
        <v>ROSL NOT CLAIMED</v>
      </c>
      <c r="L21" s="8" t="str">
        <f t="shared" si="1"/>
        <v>06001678  AMEPS</v>
      </c>
      <c r="M21" s="6">
        <f t="shared" si="2"/>
        <v>0</v>
      </c>
      <c r="N21" s="9">
        <f t="shared" ca="1" si="3"/>
        <v>3035</v>
      </c>
      <c r="O21" s="6" t="str">
        <f t="shared" si="4"/>
        <v>GST Paid</v>
      </c>
      <c r="P21" t="str">
        <f t="shared" si="5"/>
        <v xml:space="preserve">TUGLAKABAD ICD (INTKD6) - Current Que LEO Date EP Copy Print Status DBK Scroll No Scroll Date EGM Integration Status
HIST  04 AUG 2017 00:08  Y  21484/2017  07 SEP 2017 00:09  Y </v>
      </c>
    </row>
    <row r="22" spans="1:16">
      <c r="A22" t="s">
        <v>16</v>
      </c>
      <c r="B22">
        <v>7742310</v>
      </c>
      <c r="C22" t="s">
        <v>114</v>
      </c>
      <c r="D22" t="s">
        <v>115</v>
      </c>
      <c r="E22" t="s">
        <v>116</v>
      </c>
      <c r="F22" t="s">
        <v>117</v>
      </c>
      <c r="G22" t="s">
        <v>118</v>
      </c>
      <c r="H22" t="s">
        <v>119</v>
      </c>
      <c r="I22" t="s">
        <v>120</v>
      </c>
      <c r="J22" s="6" t="str">
        <f t="shared" si="0"/>
        <v>NULL</v>
      </c>
      <c r="K22" s="6" t="str">
        <f>IF(J22="","",IF(J22="ROSL CLAIMED","ROSL CLAIMED","ROSL NOT CLAIMED"))</f>
        <v>ROSL NOT CLAIMED</v>
      </c>
      <c r="L22" s="8" t="str">
        <f t="shared" si="1"/>
        <v xml:space="preserve">068904  01 AUG </v>
      </c>
      <c r="M22" s="6">
        <f t="shared" si="2"/>
        <v>0</v>
      </c>
      <c r="N22" s="9">
        <f t="shared" ca="1" si="3"/>
        <v>3034</v>
      </c>
      <c r="O22" s="6" t="str">
        <f t="shared" si="4"/>
        <v>GST Paid</v>
      </c>
      <c r="P22" t="str">
        <f t="shared" si="5"/>
        <v xml:space="preserve">TUGLAKABAD ICD (INTKD6) - Current Que LEO Date EP Copy Print Status DBK Scroll No Scroll Date EGM Integration Status
HIST  03 AUG 2017 00:08  Y  21652/2017  14 SEP 2017 00:09  Y </v>
      </c>
    </row>
    <row r="23" spans="1:16">
      <c r="A23" t="s">
        <v>16</v>
      </c>
      <c r="B23">
        <v>7747150</v>
      </c>
      <c r="C23" t="s">
        <v>114</v>
      </c>
      <c r="D23" t="s">
        <v>121</v>
      </c>
      <c r="E23" t="s">
        <v>97</v>
      </c>
      <c r="F23" t="s">
        <v>122</v>
      </c>
      <c r="G23" t="s">
        <v>21</v>
      </c>
      <c r="H23" t="s">
        <v>123</v>
      </c>
      <c r="I23" t="s">
        <v>124</v>
      </c>
      <c r="J23" s="6" t="str">
        <f t="shared" si="0"/>
        <v>ROSL NOT CLAIMED</v>
      </c>
      <c r="K23" s="6" t="str">
        <f>IF(J23="","",IF(J23="ROSL CLAIMED","ROSL CLAIMED","ROSL NOT CLAIMED"))</f>
        <v>ROSL NOT CLAIMED</v>
      </c>
      <c r="L23" s="8" t="str">
        <f t="shared" si="1"/>
        <v>NULL</v>
      </c>
      <c r="M23" s="6">
        <f t="shared" si="2"/>
        <v>0</v>
      </c>
      <c r="N23" s="9">
        <f t="shared" ca="1" si="3"/>
        <v>3034</v>
      </c>
      <c r="O23" s="6" t="str">
        <f t="shared" si="4"/>
        <v>GST Paid</v>
      </c>
      <c r="P23" t="str">
        <f t="shared" si="5"/>
        <v xml:space="preserve">TUGLAKABAD ICD (INTKD6) - Current Que LEO Date EP Copy Print Status DBK Scroll No Scroll Date EGM Integration Status
HIST  03 AUG 2017 00:08  Y  21593/2017  12 SEP 2017 00:09  Y </v>
      </c>
    </row>
    <row r="24" spans="1:16">
      <c r="A24" t="s">
        <v>16</v>
      </c>
      <c r="B24">
        <v>7751210</v>
      </c>
      <c r="C24" t="s">
        <v>114</v>
      </c>
      <c r="D24" t="s">
        <v>125</v>
      </c>
      <c r="E24" t="s">
        <v>91</v>
      </c>
      <c r="F24" t="s">
        <v>126</v>
      </c>
      <c r="G24" t="s">
        <v>21</v>
      </c>
      <c r="H24" t="s">
        <v>127</v>
      </c>
      <c r="I24" t="s">
        <v>34</v>
      </c>
      <c r="J24" s="6" t="str">
        <f t="shared" si="0"/>
        <v>ROSL NOT CLAIMED</v>
      </c>
      <c r="K24" s="6" t="str">
        <f>IF(J24="","",IF(J24="ROSL CLAIMED","ROSL CLAIMED","ROSL NOT CLAIMED"))</f>
        <v>ROSL NOT CLAIMED</v>
      </c>
      <c r="L24" s="8" t="str">
        <f t="shared" si="1"/>
        <v>061315  AABCC81</v>
      </c>
      <c r="M24" s="6">
        <f t="shared" si="2"/>
        <v>0</v>
      </c>
      <c r="N24" s="9">
        <f t="shared" ca="1" si="3"/>
        <v>3034</v>
      </c>
      <c r="O24" s="6" t="str">
        <f t="shared" si="4"/>
        <v>GST Paid</v>
      </c>
      <c r="P24" t="str">
        <f t="shared" si="5"/>
        <v xml:space="preserve">TUGLAKABAD ICD (INTKD6) - Current Que LEO Date EP Copy Print Status DBK Scroll No Scroll Date EGM Integration Status
HIST  04 AUG 2017 00:08  Y  21593/2017  12 SEP 2017 00:09  Y </v>
      </c>
    </row>
    <row r="25" spans="1:16">
      <c r="A25" t="s">
        <v>16</v>
      </c>
      <c r="B25">
        <v>7759192</v>
      </c>
      <c r="C25" t="s">
        <v>128</v>
      </c>
      <c r="D25" t="s">
        <v>129</v>
      </c>
      <c r="E25" t="s">
        <v>130</v>
      </c>
      <c r="F25" t="s">
        <v>131</v>
      </c>
      <c r="G25" t="s">
        <v>21</v>
      </c>
      <c r="H25" t="s">
        <v>132</v>
      </c>
      <c r="I25" t="s">
        <v>133</v>
      </c>
      <c r="J25" s="6" t="str">
        <f t="shared" si="0"/>
        <v>ROSL NOT CLAIMED</v>
      </c>
      <c r="K25" s="6" t="str">
        <f>IF(J25="","",IF(J25="ROSL CLAIMED","ROSL CLAIMED","ROSL NOT CLAIMED"))</f>
        <v>ROSL NOT CLAIMED</v>
      </c>
      <c r="L25" s="8" t="str">
        <f t="shared" si="1"/>
        <v>NULL</v>
      </c>
      <c r="M25" s="6">
        <f t="shared" si="2"/>
        <v>0</v>
      </c>
      <c r="N25" s="9">
        <f t="shared" ca="1" si="3"/>
        <v>3033</v>
      </c>
      <c r="O25" s="6" t="str">
        <f t="shared" si="4"/>
        <v>GST Paid</v>
      </c>
      <c r="P25" t="str">
        <f t="shared" si="5"/>
        <v xml:space="preserve">TUGLAKABAD ICD (INTKD6) - Current Que LEO Date EP Copy Print Status DBK Scroll No Scroll Date EGM Integration Status
HIST  10 AUG 2017 00:08  Y  21593/2017  12 SEP 2017 00:09  Y </v>
      </c>
    </row>
    <row r="26" spans="1:16">
      <c r="A26" t="s">
        <v>16</v>
      </c>
      <c r="B26">
        <v>7764000</v>
      </c>
      <c r="C26" t="s">
        <v>128</v>
      </c>
      <c r="D26" t="s">
        <v>134</v>
      </c>
      <c r="E26" t="s">
        <v>116</v>
      </c>
      <c r="F26" t="s">
        <v>135</v>
      </c>
      <c r="G26" t="s">
        <v>21</v>
      </c>
      <c r="H26" t="s">
        <v>136</v>
      </c>
      <c r="I26" t="s">
        <v>137</v>
      </c>
      <c r="J26" s="6" t="str">
        <f t="shared" si="0"/>
        <v>ROSL NOT CLAIMED</v>
      </c>
      <c r="K26" s="6" t="str">
        <f>IF(J26="","",IF(J26="ROSL CLAIMED","ROSL CLAIMED","ROSL NOT CLAIMED"))</f>
        <v>ROSL NOT CLAIMED</v>
      </c>
      <c r="L26" s="8" t="str">
        <f t="shared" si="1"/>
        <v>NULL</v>
      </c>
      <c r="M26" s="6">
        <f t="shared" si="2"/>
        <v>0</v>
      </c>
      <c r="N26" s="9">
        <f t="shared" ca="1" si="3"/>
        <v>3033</v>
      </c>
      <c r="O26" s="6" t="str">
        <f t="shared" si="4"/>
        <v>GST Paid</v>
      </c>
      <c r="P26" t="str">
        <f t="shared" si="5"/>
        <v xml:space="preserve">TUGLAKABAD ICD (INTKD6) - Current Que LEO Date EP Copy Print Status DBK Scroll No Scroll Date EGM Integration Status
HIST  03 AUG 2017 00:08  Y  21652/2017  14 SEP 2017 00:09  Y </v>
      </c>
    </row>
    <row r="27" spans="1:16">
      <c r="A27" t="s">
        <v>16</v>
      </c>
      <c r="B27">
        <v>7764312</v>
      </c>
      <c r="C27" t="s">
        <v>128</v>
      </c>
      <c r="D27" t="s">
        <v>138</v>
      </c>
      <c r="E27" t="s">
        <v>139</v>
      </c>
      <c r="F27" t="s">
        <v>140</v>
      </c>
      <c r="G27" t="s">
        <v>21</v>
      </c>
      <c r="H27" t="s">
        <v>141</v>
      </c>
      <c r="I27" t="s">
        <v>142</v>
      </c>
      <c r="J27" s="6" t="str">
        <f t="shared" si="0"/>
        <v>ROSL NOT CLAIMED</v>
      </c>
      <c r="K27" s="6" t="str">
        <f>IF(J27="","",IF(J27="ROSL CLAIMED","ROSL CLAIMED","ROSL NOT CLAIMED"))</f>
        <v>ROSL NOT CLAIMED</v>
      </c>
      <c r="L27" s="8" t="str">
        <f t="shared" si="1"/>
        <v>NULL</v>
      </c>
      <c r="M27" s="6">
        <f t="shared" si="2"/>
        <v>0</v>
      </c>
      <c r="N27" s="9">
        <f t="shared" ca="1" si="3"/>
        <v>3033</v>
      </c>
      <c r="O27" s="6" t="str">
        <f t="shared" si="4"/>
        <v>GST Paid</v>
      </c>
      <c r="P27" t="str">
        <f t="shared" si="5"/>
        <v xml:space="preserve">TUGLAKABAD ICD (INTKD6) - Current Que LEO Date EP Copy Print Status DBK Scroll No Scroll Date EGM Integration Status
HIST  03 AUG 2017 00:08  Y  21484/2017  07 SEP 2017 00:09  Y </v>
      </c>
    </row>
    <row r="28" spans="1:16">
      <c r="A28" t="s">
        <v>16</v>
      </c>
      <c r="B28">
        <v>7772989</v>
      </c>
      <c r="C28" t="s">
        <v>128</v>
      </c>
      <c r="D28" t="s">
        <v>143</v>
      </c>
      <c r="E28" t="s">
        <v>144</v>
      </c>
      <c r="F28" t="s">
        <v>145</v>
      </c>
      <c r="G28" t="s">
        <v>21</v>
      </c>
      <c r="H28" t="s">
        <v>146</v>
      </c>
      <c r="I28" t="s">
        <v>147</v>
      </c>
      <c r="J28" s="6" t="str">
        <f t="shared" si="0"/>
        <v>ROSL NOT CLAIMED</v>
      </c>
      <c r="K28" s="6" t="str">
        <f>IF(J28="","",IF(J28="ROSL CLAIMED","ROSL CLAIMED","ROSL NOT CLAIMED"))</f>
        <v>ROSL NOT CLAIMED</v>
      </c>
      <c r="L28" s="8" t="str">
        <f t="shared" si="1"/>
        <v>0609003542  AOF</v>
      </c>
      <c r="M28" s="6">
        <f t="shared" si="2"/>
        <v>0</v>
      </c>
      <c r="N28" s="9">
        <f t="shared" ca="1" si="3"/>
        <v>3033</v>
      </c>
      <c r="O28" s="6" t="str">
        <f t="shared" si="4"/>
        <v>GST Paid</v>
      </c>
      <c r="P28" t="str">
        <f t="shared" si="5"/>
        <v xml:space="preserve">TUGLAKABAD ICD (INTKD6) - Current Que LEO Date EP Copy Print Status DBK Scroll No Scroll Date EGM Integration Status
HIST  11 AUG 2017 00:08  Y  21593/2017  12 SEP 2017 00:09  Y </v>
      </c>
    </row>
    <row r="29" spans="1:16">
      <c r="A29" t="s">
        <v>16</v>
      </c>
      <c r="B29">
        <v>7774110</v>
      </c>
      <c r="C29" t="s">
        <v>128</v>
      </c>
      <c r="D29" t="s">
        <v>148</v>
      </c>
      <c r="E29" t="s">
        <v>149</v>
      </c>
      <c r="F29" t="s">
        <v>150</v>
      </c>
      <c r="G29" t="s">
        <v>39</v>
      </c>
      <c r="H29" t="s">
        <v>151</v>
      </c>
      <c r="I29" t="s">
        <v>152</v>
      </c>
      <c r="J29" s="6" t="str">
        <f t="shared" si="0"/>
        <v>ROSL CLAIMED</v>
      </c>
      <c r="K29" s="6" t="str">
        <f>IF(J29="","",IF(J29="ROSL CLAIMED","ROSL CLAIMED","ROSL NOT CLAIMED"))</f>
        <v>ROSL CLAIMED</v>
      </c>
      <c r="L29" s="8" t="str">
        <f t="shared" si="1"/>
        <v>NULL</v>
      </c>
      <c r="M29" s="6">
        <f t="shared" si="2"/>
        <v>1</v>
      </c>
      <c r="N29" s="9">
        <f t="shared" ca="1" si="3"/>
        <v>3033</v>
      </c>
      <c r="O29" s="6" t="str">
        <f t="shared" si="4"/>
        <v>GST Paid</v>
      </c>
      <c r="P29" t="str">
        <f t="shared" si="5"/>
        <v xml:space="preserve">TUGLAKABAD ICD (INTKD6) - Current Que LEO Date EP Copy Print Status DBK Scroll No Scroll Date EGM Integration Status
HIST  10 AUG 2017 00:08  Y  N.A.  N.A.  Y </v>
      </c>
    </row>
    <row r="30" spans="1:16">
      <c r="A30" t="s">
        <v>16</v>
      </c>
      <c r="B30">
        <v>7778178</v>
      </c>
      <c r="C30" t="s">
        <v>128</v>
      </c>
      <c r="D30" t="s">
        <v>153</v>
      </c>
      <c r="E30" t="s">
        <v>91</v>
      </c>
      <c r="F30" t="s">
        <v>154</v>
      </c>
      <c r="G30" t="s">
        <v>21</v>
      </c>
      <c r="H30" t="s">
        <v>155</v>
      </c>
      <c r="I30" t="s">
        <v>34</v>
      </c>
      <c r="J30" s="6" t="str">
        <f t="shared" si="0"/>
        <v>ROSL NOT CLAIMED</v>
      </c>
      <c r="K30" s="6" t="str">
        <f>IF(J30="","",IF(J30="ROSL CLAIMED","ROSL CLAIMED","ROSL NOT CLAIMED"))</f>
        <v>ROSL NOT CLAIMED</v>
      </c>
      <c r="L30" s="8" t="str">
        <f t="shared" si="1"/>
        <v>NULL</v>
      </c>
      <c r="M30" s="6">
        <f t="shared" si="2"/>
        <v>0</v>
      </c>
      <c r="N30" s="9">
        <f t="shared" ca="1" si="3"/>
        <v>3033</v>
      </c>
      <c r="O30" s="6" t="str">
        <f t="shared" si="4"/>
        <v>GST Paid</v>
      </c>
      <c r="P30" t="str">
        <f t="shared" si="5"/>
        <v xml:space="preserve">TUGLAKABAD ICD (INTKD6) - Current Que LEO Date EP Copy Print Status DBK Scroll No Scroll Date EGM Integration Status
HIST  04 AUG 2017 00:08  Y  21593/2017  12 SEP 2017 00:09  Y </v>
      </c>
    </row>
    <row r="31" spans="1:16">
      <c r="A31" t="s">
        <v>16</v>
      </c>
      <c r="B31">
        <v>7782282</v>
      </c>
      <c r="C31" t="s">
        <v>128</v>
      </c>
      <c r="D31" t="s">
        <v>156</v>
      </c>
      <c r="E31" t="s">
        <v>157</v>
      </c>
      <c r="F31" t="s">
        <v>158</v>
      </c>
      <c r="G31" t="s">
        <v>21</v>
      </c>
      <c r="H31" t="s">
        <v>159</v>
      </c>
      <c r="I31" t="s">
        <v>160</v>
      </c>
      <c r="J31" s="6" t="str">
        <f t="shared" si="0"/>
        <v>ROSL NOT CLAIMED</v>
      </c>
      <c r="K31" s="6" t="str">
        <f>IF(J31="","",IF(J31="ROSL CLAIMED","ROSL CLAIMED","ROSL NOT CLAIMED"))</f>
        <v>ROSL NOT CLAIMED</v>
      </c>
      <c r="L31" s="8" t="str">
        <f t="shared" si="1"/>
        <v xml:space="preserve">06.4  0  7245  </v>
      </c>
      <c r="M31" s="6">
        <f t="shared" si="2"/>
        <v>0</v>
      </c>
      <c r="N31" s="9">
        <f t="shared" ca="1" si="3"/>
        <v>3033</v>
      </c>
      <c r="O31" s="6" t="str">
        <f t="shared" si="4"/>
        <v>GST Paid</v>
      </c>
      <c r="P31" t="str">
        <f t="shared" si="5"/>
        <v xml:space="preserve">TUGLAKABAD ICD (INTKD6) - Current Que LEO Date EP Copy Print Status DBK Scroll No Scroll Date EGM Integration Status
HIST  05 AUG 2017 00:08  Y  21593/2017  12 SEP 2017 00:09  Y </v>
      </c>
    </row>
    <row r="32" spans="1:16">
      <c r="A32" t="s">
        <v>16</v>
      </c>
      <c r="B32">
        <v>7791798</v>
      </c>
      <c r="C32" t="s">
        <v>161</v>
      </c>
      <c r="D32" t="s">
        <v>162</v>
      </c>
      <c r="E32" t="s">
        <v>157</v>
      </c>
      <c r="F32" t="s">
        <v>163</v>
      </c>
      <c r="G32" t="s">
        <v>21</v>
      </c>
      <c r="H32" t="s">
        <v>164</v>
      </c>
      <c r="I32" t="s">
        <v>165</v>
      </c>
      <c r="J32" s="6" t="str">
        <f t="shared" si="0"/>
        <v>ROSL NOT CLAIMED</v>
      </c>
      <c r="K32" s="6" t="str">
        <f>IF(J32="","",IF(J32="ROSL CLAIMED","ROSL CLAIMED","ROSL NOT CLAIMED"))</f>
        <v>ROSL NOT CLAIMED</v>
      </c>
      <c r="L32" s="8" t="str">
        <f t="shared" si="1"/>
        <v>NULL</v>
      </c>
      <c r="M32" s="6">
        <f t="shared" si="2"/>
        <v>0</v>
      </c>
      <c r="N32" s="9">
        <f t="shared" ca="1" si="3"/>
        <v>3032</v>
      </c>
      <c r="O32" s="6" t="str">
        <f t="shared" si="4"/>
        <v>GST Paid</v>
      </c>
      <c r="P32" t="str">
        <f t="shared" si="5"/>
        <v xml:space="preserve">TUGLAKABAD ICD (INTKD6) - Current Que LEO Date EP Copy Print Status DBK Scroll No Scroll Date EGM Integration Status
HIST  05 AUG 2017 00:08  Y  21593/2017  12 SEP 2017 00:09  Y </v>
      </c>
    </row>
    <row r="33" spans="1:16">
      <c r="A33" t="s">
        <v>16</v>
      </c>
      <c r="B33">
        <v>7794172</v>
      </c>
      <c r="C33" t="s">
        <v>161</v>
      </c>
      <c r="D33" t="s">
        <v>166</v>
      </c>
      <c r="E33" t="s">
        <v>167</v>
      </c>
      <c r="F33" t="s">
        <v>168</v>
      </c>
      <c r="G33" t="s">
        <v>21</v>
      </c>
      <c r="H33" t="s">
        <v>169</v>
      </c>
      <c r="I33" t="s">
        <v>170</v>
      </c>
      <c r="J33" s="6" t="str">
        <f t="shared" si="0"/>
        <v>ROSL NOT CLAIMED</v>
      </c>
      <c r="K33" s="6" t="str">
        <f>IF(J33="","",IF(J33="ROSL CLAIMED","ROSL CLAIMED","ROSL NOT CLAIMED"))</f>
        <v>ROSL NOT CLAIMED</v>
      </c>
      <c r="L33" s="8" t="str">
        <f t="shared" si="1"/>
        <v>064  AFYPK1878F</v>
      </c>
      <c r="M33" s="6">
        <f t="shared" si="2"/>
        <v>0</v>
      </c>
      <c r="N33" s="9">
        <f t="shared" ca="1" si="3"/>
        <v>3032</v>
      </c>
      <c r="O33" s="6" t="str">
        <f t="shared" si="4"/>
        <v>GST Paid</v>
      </c>
      <c r="P33" t="str">
        <f t="shared" si="5"/>
        <v xml:space="preserve">TUGLAKABAD ICD (INTKD6) - Current Que LEO Date EP Copy Print Status DBK Scroll No Scroll Date EGM Integration Status
HIST  08 AUG 2017 00:08  Y  21652/2017  14 SEP 2017 00:09  Y </v>
      </c>
    </row>
    <row r="34" spans="1:16">
      <c r="A34" t="s">
        <v>16</v>
      </c>
      <c r="B34">
        <v>7795473</v>
      </c>
      <c r="C34" t="s">
        <v>161</v>
      </c>
      <c r="D34" t="s">
        <v>171</v>
      </c>
      <c r="E34" t="s">
        <v>172</v>
      </c>
      <c r="F34" t="s">
        <v>173</v>
      </c>
      <c r="G34" t="s">
        <v>21</v>
      </c>
      <c r="H34" t="s">
        <v>174</v>
      </c>
      <c r="I34" t="s">
        <v>175</v>
      </c>
      <c r="J34" s="6" t="str">
        <f t="shared" si="0"/>
        <v>ROSL NOT CLAIMED</v>
      </c>
      <c r="K34" s="6" t="str">
        <f>IF(J34="","",IF(J34="ROSL CLAIMED","ROSL CLAIMED","ROSL NOT CLAIMED"))</f>
        <v>ROSL NOT CLAIMED</v>
      </c>
      <c r="L34" s="8" t="str">
        <f t="shared" si="1"/>
        <v xml:space="preserve">064  0  51064  </v>
      </c>
      <c r="M34" s="6">
        <f t="shared" si="2"/>
        <v>0</v>
      </c>
      <c r="N34" s="9">
        <f t="shared" ca="1" si="3"/>
        <v>3032</v>
      </c>
      <c r="O34" s="6" t="str">
        <f t="shared" si="4"/>
        <v>GST Paid</v>
      </c>
      <c r="P34" t="str">
        <f t="shared" si="5"/>
        <v xml:space="preserve">TUGLAKABAD ICD (INTKD6) - Current Que LEO Date EP Copy Print Status DBK Scroll No Scroll Date EGM Integration Status
HIST  05 AUG 2017 00:08  Y  21484/2017  07 SEP 2017 00:09  Y </v>
      </c>
    </row>
    <row r="35" spans="1:16">
      <c r="A35" t="s">
        <v>16</v>
      </c>
      <c r="B35">
        <v>7796181</v>
      </c>
      <c r="C35" t="s">
        <v>161</v>
      </c>
      <c r="D35" t="s">
        <v>176</v>
      </c>
      <c r="E35" t="s">
        <v>177</v>
      </c>
      <c r="F35" t="s">
        <v>158</v>
      </c>
      <c r="G35" t="s">
        <v>178</v>
      </c>
      <c r="H35" t="s">
        <v>179</v>
      </c>
      <c r="I35" t="s">
        <v>124</v>
      </c>
      <c r="J35" s="6" t="str">
        <f>IF(ISNUMBER(SEARCH("NULL",G35)),"ROSL CLAIMED",
IF(ISNUMBER(SEARCH("ROSL NOT CLAIMED",G35)),"ROSL NOT CLAIMED","NULL"))</f>
        <v>NULL</v>
      </c>
      <c r="K35" s="6" t="str">
        <f>IF(J35="","",IF(J35="ROSL CLAIMED","ROSL CLAIMED","ROSL NOT CLAIMED"))</f>
        <v>ROSL NOT CLAIMED</v>
      </c>
      <c r="L35" s="8" t="str">
        <f t="shared" si="1"/>
        <v>06  AUHPS0698FC</v>
      </c>
      <c r="M35" s="6">
        <f t="shared" si="2"/>
        <v>0</v>
      </c>
      <c r="N35" s="9">
        <f t="shared" ca="1" si="3"/>
        <v>3032</v>
      </c>
      <c r="O35" s="6" t="str">
        <f t="shared" si="4"/>
        <v>GST Paid</v>
      </c>
      <c r="P35" t="str">
        <f t="shared" si="5"/>
        <v xml:space="preserve">TUGLAKABAD ICD (INTKD6) - Current Que LEO Date EP Copy Print Status DBK Scroll No Scroll Date EGM Integration Status
HIST  08 AUG 2017 00:08  Y  21593/2017  12 SEP 2017 00:09  Y </v>
      </c>
    </row>
    <row r="36" spans="1:16">
      <c r="A36" t="s">
        <v>16</v>
      </c>
      <c r="B36">
        <v>7800720</v>
      </c>
      <c r="C36" t="s">
        <v>161</v>
      </c>
      <c r="D36" t="s">
        <v>180</v>
      </c>
      <c r="E36" t="s">
        <v>177</v>
      </c>
      <c r="F36" t="s">
        <v>181</v>
      </c>
      <c r="G36" t="s">
        <v>21</v>
      </c>
      <c r="H36" t="s">
        <v>182</v>
      </c>
      <c r="I36" t="s">
        <v>183</v>
      </c>
      <c r="J36" s="6" t="str">
        <f t="shared" si="0"/>
        <v>ROSL NOT CLAIMED</v>
      </c>
      <c r="K36" s="6" t="str">
        <f>IF(J36="","",IF(J36="ROSL CLAIMED","ROSL CLAIMED","ROSL NOT CLAIMED"))</f>
        <v>ROSL NOT CLAIMED</v>
      </c>
      <c r="L36" s="8" t="str">
        <f t="shared" si="1"/>
        <v>NULL</v>
      </c>
      <c r="M36" s="6">
        <f t="shared" si="2"/>
        <v>0</v>
      </c>
      <c r="N36" s="9">
        <f t="shared" ca="1" si="3"/>
        <v>3032</v>
      </c>
      <c r="O36" s="6" t="str">
        <f t="shared" si="4"/>
        <v>GST Paid</v>
      </c>
      <c r="P36" t="str">
        <f t="shared" si="5"/>
        <v xml:space="preserve">TUGLAKABAD ICD (INTKD6) - Current Que LEO Date EP Copy Print Status DBK Scroll No Scroll Date EGM Integration Status
HIST  08 AUG 2017 00:08  Y  21593/2017  12 SEP 2017 00:09  Y </v>
      </c>
    </row>
    <row r="37" spans="1:16">
      <c r="A37" t="s">
        <v>16</v>
      </c>
      <c r="B37">
        <v>7804407</v>
      </c>
      <c r="C37" t="s">
        <v>161</v>
      </c>
      <c r="D37" t="s">
        <v>184</v>
      </c>
      <c r="E37" t="s">
        <v>185</v>
      </c>
      <c r="F37" t="s">
        <v>186</v>
      </c>
      <c r="G37" t="s">
        <v>39</v>
      </c>
      <c r="H37" t="s">
        <v>187</v>
      </c>
      <c r="I37" t="s">
        <v>188</v>
      </c>
      <c r="J37" s="6" t="str">
        <f t="shared" si="0"/>
        <v>ROSL CLAIMED</v>
      </c>
      <c r="K37" s="6" t="str">
        <f>IF(J37="","",IF(J37="ROSL CLAIMED","ROSL CLAIMED","ROSL NOT CLAIMED"))</f>
        <v>ROSL CLAIMED</v>
      </c>
      <c r="L37" s="8" t="str">
        <f t="shared" si="1"/>
        <v xml:space="preserve">06  1002715.8  </v>
      </c>
      <c r="M37" s="6">
        <f t="shared" si="2"/>
        <v>1</v>
      </c>
      <c r="N37" s="9">
        <f t="shared" ca="1" si="3"/>
        <v>3032</v>
      </c>
      <c r="O37" s="6" t="str">
        <f t="shared" si="4"/>
        <v>GST Paid</v>
      </c>
      <c r="P37" t="str">
        <f t="shared" si="5"/>
        <v xml:space="preserve">TUGLAKABAD ICD (INTKD6) - Current Que LEO Date EP Copy Print Status DBK Scroll No Scroll Date EGM Integration Status
HIST  05 AUG 2017 00:08  Y  N.A.  N.A.  Y </v>
      </c>
    </row>
    <row r="38" spans="1:16">
      <c r="A38" t="s">
        <v>16</v>
      </c>
      <c r="B38">
        <v>7812525</v>
      </c>
      <c r="C38" t="s">
        <v>189</v>
      </c>
      <c r="D38" t="s">
        <v>190</v>
      </c>
      <c r="E38" t="s">
        <v>191</v>
      </c>
      <c r="F38" t="s">
        <v>192</v>
      </c>
      <c r="G38" t="s">
        <v>21</v>
      </c>
      <c r="H38" t="s">
        <v>193</v>
      </c>
      <c r="I38" t="s">
        <v>194</v>
      </c>
      <c r="J38" s="6" t="str">
        <f t="shared" si="0"/>
        <v>ROSL NOT CLAIMED</v>
      </c>
      <c r="K38" s="6" t="str">
        <f>IF(J38="","",IF(J38="ROSL CLAIMED","ROSL CLAIMED","ROSL NOT CLAIMED"))</f>
        <v>ROSL NOT CLAIMED</v>
      </c>
      <c r="L38" s="8" t="str">
        <f t="shared" si="1"/>
        <v>NULL</v>
      </c>
      <c r="M38" s="6">
        <f t="shared" si="2"/>
        <v>0</v>
      </c>
      <c r="N38" s="9">
        <f t="shared" ca="1" si="3"/>
        <v>3031</v>
      </c>
      <c r="O38" s="6" t="str">
        <f t="shared" si="4"/>
        <v>GST Paid</v>
      </c>
      <c r="P38" t="str">
        <f t="shared" si="5"/>
        <v xml:space="preserve">TUGLAKABAD ICD (INTKD6) - Current Que LEO Date EP Copy Print Status DBK Scroll No Scroll Date EGM Integration Status
HIST  18 AUG 2017 00:08  Y  21593/2017  12 SEP 2017 00:09  Y </v>
      </c>
    </row>
    <row r="39" spans="1:16">
      <c r="A39" t="s">
        <v>16</v>
      </c>
      <c r="B39">
        <v>7826835</v>
      </c>
      <c r="C39" t="s">
        <v>189</v>
      </c>
      <c r="D39" t="s">
        <v>195</v>
      </c>
      <c r="E39" t="s">
        <v>196</v>
      </c>
      <c r="F39" t="s">
        <v>197</v>
      </c>
      <c r="G39" t="s">
        <v>21</v>
      </c>
      <c r="H39" t="s">
        <v>198</v>
      </c>
      <c r="I39" t="s">
        <v>34</v>
      </c>
      <c r="J39" s="6" t="str">
        <f t="shared" si="0"/>
        <v>ROSL NOT CLAIMED</v>
      </c>
      <c r="K39" s="6" t="str">
        <f>IF(J39="","",IF(J39="ROSL CLAIMED","ROSL CLAIMED","ROSL NOT CLAIMED"))</f>
        <v>ROSL NOT CLAIMED</v>
      </c>
      <c r="L39" s="8" t="str">
        <f t="shared" si="1"/>
        <v>068645  AABCT36</v>
      </c>
      <c r="M39" s="6">
        <f t="shared" si="2"/>
        <v>0</v>
      </c>
      <c r="N39" s="9">
        <f t="shared" ca="1" si="3"/>
        <v>3031</v>
      </c>
      <c r="O39" s="6" t="str">
        <f t="shared" si="4"/>
        <v>GST Paid</v>
      </c>
      <c r="P39" t="str">
        <f t="shared" si="5"/>
        <v xml:space="preserve">TUGLAKABAD ICD (INTKD6) - Current Que LEO Date EP Copy Print Status DBK Scroll No Scroll Date EGM Integration Status
HIST  07 AUG 2017 00:08  Y  21593/2017  12 SEP 2017 00:09  Y </v>
      </c>
    </row>
    <row r="40" spans="1:16">
      <c r="A40" t="s">
        <v>16</v>
      </c>
      <c r="B40">
        <v>7835799</v>
      </c>
      <c r="C40" t="s">
        <v>199</v>
      </c>
      <c r="D40" t="s">
        <v>200</v>
      </c>
      <c r="E40" t="s">
        <v>177</v>
      </c>
      <c r="F40" t="s">
        <v>201</v>
      </c>
      <c r="G40" t="s">
        <v>21</v>
      </c>
      <c r="H40" t="s">
        <v>202</v>
      </c>
      <c r="I40" t="s">
        <v>34</v>
      </c>
      <c r="J40" s="6" t="str">
        <f t="shared" si="0"/>
        <v>ROSL NOT CLAIMED</v>
      </c>
      <c r="K40" s="6" t="str">
        <f>IF(J40="","",IF(J40="ROSL CLAIMED","ROSL CLAIMED","ROSL NOT CLAIMED"))</f>
        <v>ROSL NOT CLAIMED</v>
      </c>
      <c r="L40" s="8" t="str">
        <f t="shared" si="1"/>
        <v>NULL</v>
      </c>
      <c r="M40" s="6">
        <f t="shared" si="2"/>
        <v>0</v>
      </c>
      <c r="N40" s="9">
        <f t="shared" ca="1" si="3"/>
        <v>3030</v>
      </c>
      <c r="O40" s="6" t="str">
        <f t="shared" si="4"/>
        <v>GST Paid</v>
      </c>
      <c r="P40" t="str">
        <f t="shared" si="5"/>
        <v xml:space="preserve">TUGLAKABAD ICD (INTKD6) - Current Que LEO Date EP Copy Print Status DBK Scroll No Scroll Date EGM Integration Status
HIST  08 AUG 2017 00:08  Y  21593/2017  12 SEP 2017 00:09  Y </v>
      </c>
    </row>
    <row r="41" spans="1:16">
      <c r="A41" t="s">
        <v>16</v>
      </c>
      <c r="B41">
        <v>7849871</v>
      </c>
      <c r="C41" t="s">
        <v>199</v>
      </c>
      <c r="D41" t="s">
        <v>203</v>
      </c>
      <c r="E41" t="s">
        <v>204</v>
      </c>
      <c r="F41" t="s">
        <v>205</v>
      </c>
      <c r="G41" t="s">
        <v>21</v>
      </c>
      <c r="H41" t="s">
        <v>206</v>
      </c>
      <c r="I41" t="s">
        <v>207</v>
      </c>
      <c r="J41" s="6" t="str">
        <f t="shared" si="0"/>
        <v>ROSL NOT CLAIMED</v>
      </c>
      <c r="K41" s="6" t="str">
        <f>IF(J41="","",IF(J41="ROSL CLAIMED","ROSL CLAIMED","ROSL NOT CLAIMED"))</f>
        <v>ROSL NOT CLAIMED</v>
      </c>
      <c r="L41" s="8" t="str">
        <f t="shared" si="1"/>
        <v>NULL</v>
      </c>
      <c r="M41" s="6">
        <f t="shared" si="2"/>
        <v>0</v>
      </c>
      <c r="N41" s="9">
        <f t="shared" ca="1" si="3"/>
        <v>3030</v>
      </c>
      <c r="O41" s="6" t="str">
        <f t="shared" si="4"/>
        <v>GST Paid</v>
      </c>
      <c r="P41" t="str">
        <f t="shared" si="5"/>
        <v xml:space="preserve">TUGLAKABAD ICD (INTKD6) - 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 </v>
      </c>
    </row>
    <row r="42" spans="1:16">
      <c r="A42" t="s">
        <v>16</v>
      </c>
      <c r="B42">
        <v>7852739</v>
      </c>
      <c r="C42" t="s">
        <v>199</v>
      </c>
      <c r="D42" t="s">
        <v>208</v>
      </c>
      <c r="E42" t="s">
        <v>130</v>
      </c>
      <c r="F42" t="s">
        <v>209</v>
      </c>
      <c r="G42" t="s">
        <v>21</v>
      </c>
      <c r="H42" t="s">
        <v>210</v>
      </c>
      <c r="I42" t="s">
        <v>211</v>
      </c>
      <c r="J42" s="6" t="str">
        <f t="shared" si="0"/>
        <v>ROSL NOT CLAIMED</v>
      </c>
      <c r="K42" s="6" t="str">
        <f>IF(J42="","",IF(J42="ROSL CLAIMED","ROSL CLAIMED","ROSL NOT CLAIMED"))</f>
        <v>ROSL NOT CLAIMED</v>
      </c>
      <c r="L42" s="8" t="str">
        <f t="shared" si="1"/>
        <v>062609  ALGPK63</v>
      </c>
      <c r="M42" s="6">
        <f t="shared" si="2"/>
        <v>0</v>
      </c>
      <c r="N42" s="9">
        <f t="shared" ca="1" si="3"/>
        <v>3030</v>
      </c>
      <c r="O42" s="6" t="str">
        <f t="shared" si="4"/>
        <v>GST Paid</v>
      </c>
      <c r="P42" t="str">
        <f t="shared" si="5"/>
        <v xml:space="preserve">TUGLAKABAD ICD (INTKD6) - Current Que LEO Date EP Copy Print Status DBK Scroll No Scroll Date EGM Integration Status
HIST  10 AUG 2017 00:08  Y  21593/2017  12 SEP 2017 00:09  Y </v>
      </c>
    </row>
    <row r="43" spans="1:16">
      <c r="A43" t="s">
        <v>16</v>
      </c>
      <c r="B43">
        <v>7862536</v>
      </c>
      <c r="C43" t="s">
        <v>212</v>
      </c>
      <c r="D43" t="s">
        <v>213</v>
      </c>
      <c r="E43" t="s">
        <v>149</v>
      </c>
      <c r="F43" t="s">
        <v>214</v>
      </c>
      <c r="G43" t="s">
        <v>39</v>
      </c>
      <c r="H43" t="s">
        <v>215</v>
      </c>
      <c r="I43" t="s">
        <v>34</v>
      </c>
      <c r="J43" s="6" t="str">
        <f t="shared" si="0"/>
        <v>ROSL CLAIMED</v>
      </c>
      <c r="K43" s="6" t="str">
        <f>IF(J43="","",IF(J43="ROSL CLAIMED","ROSL CLAIMED","ROSL NOT CLAIMED"))</f>
        <v>ROSL CLAIMED</v>
      </c>
      <c r="L43" s="8" t="str">
        <f t="shared" si="1"/>
        <v>NULL</v>
      </c>
      <c r="M43" s="6">
        <f t="shared" si="2"/>
        <v>1</v>
      </c>
      <c r="N43" s="9">
        <f t="shared" ca="1" si="3"/>
        <v>3028</v>
      </c>
      <c r="O43" s="6" t="str">
        <f t="shared" si="4"/>
        <v>GST Paid</v>
      </c>
      <c r="P43" t="str">
        <f t="shared" si="5"/>
        <v xml:space="preserve">TUGLAKABAD ICD (INTKD6) - Current Que LEO Date EP Copy Print Status DBK Scroll No Scroll Date EGM Integration Status
HIST  10 AUG 2017 00:08  Y  N.A.  N.A.  Y </v>
      </c>
    </row>
    <row r="44" spans="1:16">
      <c r="A44" t="s">
        <v>16</v>
      </c>
      <c r="B44">
        <v>7877440</v>
      </c>
      <c r="C44" t="s">
        <v>216</v>
      </c>
      <c r="D44" t="s">
        <v>217</v>
      </c>
      <c r="E44" t="s">
        <v>144</v>
      </c>
      <c r="F44" t="s">
        <v>218</v>
      </c>
      <c r="G44" t="s">
        <v>21</v>
      </c>
      <c r="H44" t="s">
        <v>219</v>
      </c>
      <c r="I44" t="s">
        <v>220</v>
      </c>
      <c r="J44" s="6" t="str">
        <f t="shared" si="0"/>
        <v>ROSL NOT CLAIMED</v>
      </c>
      <c r="K44" s="6" t="str">
        <f>IF(J44="","",IF(J44="ROSL CLAIMED","ROSL CLAIMED","ROSL NOT CLAIMED"))</f>
        <v>ROSL NOT CLAIMED</v>
      </c>
      <c r="L44" s="8" t="str">
        <f t="shared" si="1"/>
        <v xml:space="preserve">064  789144.6  </v>
      </c>
      <c r="M44" s="6">
        <f t="shared" si="2"/>
        <v>0</v>
      </c>
      <c r="N44" s="9">
        <f t="shared" ca="1" si="3"/>
        <v>3027</v>
      </c>
      <c r="O44" s="6" t="str">
        <f t="shared" si="4"/>
        <v>GST Paid</v>
      </c>
      <c r="P44" t="str">
        <f t="shared" si="5"/>
        <v xml:space="preserve">TUGLAKABAD ICD (INTKD6) - Current Que LEO Date EP Copy Print Status DBK Scroll No Scroll Date EGM Integration Status
HIST  11 AUG 2017 00:08  Y  21593/2017  12 SEP 2017 00:09  Y </v>
      </c>
    </row>
    <row r="45" spans="1:16">
      <c r="A45" t="s">
        <v>16</v>
      </c>
      <c r="B45">
        <v>7891039</v>
      </c>
      <c r="C45" t="s">
        <v>216</v>
      </c>
      <c r="D45" t="s">
        <v>221</v>
      </c>
      <c r="E45" t="s">
        <v>222</v>
      </c>
      <c r="F45" t="s">
        <v>223</v>
      </c>
      <c r="G45" t="s">
        <v>21</v>
      </c>
      <c r="H45" t="s">
        <v>224</v>
      </c>
      <c r="I45" t="s">
        <v>34</v>
      </c>
      <c r="J45" s="6" t="str">
        <f t="shared" si="0"/>
        <v>ROSL NOT CLAIMED</v>
      </c>
      <c r="K45" s="6" t="str">
        <f>IF(J45="","",IF(J45="ROSL CLAIMED","ROSL CLAIMED","ROSL NOT CLAIMED"))</f>
        <v>ROSL NOT CLAIMED</v>
      </c>
      <c r="L45" s="8" t="str">
        <f t="shared" si="1"/>
        <v>NULL</v>
      </c>
      <c r="M45" s="6">
        <f t="shared" si="2"/>
        <v>0</v>
      </c>
      <c r="N45" s="9">
        <f t="shared" ca="1" si="3"/>
        <v>3027</v>
      </c>
      <c r="O45" s="6" t="str">
        <f t="shared" si="4"/>
        <v>GST Paid</v>
      </c>
      <c r="P45" t="str">
        <f t="shared" si="5"/>
        <v xml:space="preserve">TUGLAKABAD ICD (INTKD6) - Current Que LEO Date EP Copy Print Status DBK Scroll No Scroll Date EGM Integration Status
HIST  11 AUG 2017 00:08  Y  21652/2017  14 SEP 2017 00:09  Y </v>
      </c>
    </row>
    <row r="46" spans="1:16">
      <c r="A46" t="s">
        <v>16</v>
      </c>
      <c r="B46">
        <v>7891796</v>
      </c>
      <c r="C46" t="s">
        <v>216</v>
      </c>
      <c r="D46" t="s">
        <v>225</v>
      </c>
      <c r="E46" t="s">
        <v>130</v>
      </c>
      <c r="F46" t="s">
        <v>226</v>
      </c>
      <c r="G46" t="s">
        <v>21</v>
      </c>
      <c r="H46" t="s">
        <v>227</v>
      </c>
      <c r="I46" t="s">
        <v>228</v>
      </c>
      <c r="J46" s="6" t="str">
        <f t="shared" si="0"/>
        <v>ROSL NOT CLAIMED</v>
      </c>
      <c r="K46" s="6" t="str">
        <f>IF(J46="","",IF(J46="ROSL CLAIMED","ROSL CLAIMED","ROSL NOT CLAIMED"))</f>
        <v>ROSL NOT CLAIMED</v>
      </c>
      <c r="L46" s="8" t="str">
        <f t="shared" si="1"/>
        <v>06054306  ABBFA</v>
      </c>
      <c r="M46" s="6">
        <f t="shared" si="2"/>
        <v>0</v>
      </c>
      <c r="N46" s="9">
        <f t="shared" ca="1" si="3"/>
        <v>3027</v>
      </c>
      <c r="O46" s="6" t="str">
        <f t="shared" si="4"/>
        <v>GST Paid</v>
      </c>
      <c r="P46" t="str">
        <f t="shared" si="5"/>
        <v xml:space="preserve">TUGLAKABAD ICD (INTKD6) - Current Que LEO Date EP Copy Print Status DBK Scroll No Scroll Date EGM Integration Status
HIST  10 AUG 2017 00:08  Y  21593/2017  12 SEP 2017 00:09  Y </v>
      </c>
    </row>
    <row r="47" spans="1:16">
      <c r="A47" t="s">
        <v>16</v>
      </c>
      <c r="B47">
        <v>7903729</v>
      </c>
      <c r="C47" t="s">
        <v>229</v>
      </c>
      <c r="D47" t="s">
        <v>230</v>
      </c>
      <c r="E47" t="s">
        <v>231</v>
      </c>
      <c r="F47" t="s">
        <v>232</v>
      </c>
      <c r="G47" t="s">
        <v>21</v>
      </c>
      <c r="H47" t="s">
        <v>233</v>
      </c>
      <c r="I47" t="s">
        <v>234</v>
      </c>
      <c r="J47" s="6" t="str">
        <f t="shared" si="0"/>
        <v>ROSL NOT CLAIMED</v>
      </c>
      <c r="K47" s="6" t="str">
        <f>IF(J47="","",IF(J47="ROSL CLAIMED","ROSL CLAIMED","ROSL NOT CLAIMED"))</f>
        <v>ROSL NOT CLAIMED</v>
      </c>
      <c r="L47" s="8" t="str">
        <f t="shared" si="1"/>
        <v>NULL</v>
      </c>
      <c r="M47" s="6">
        <f t="shared" si="2"/>
        <v>0</v>
      </c>
      <c r="N47" s="9">
        <f t="shared" ca="1" si="3"/>
        <v>3026</v>
      </c>
      <c r="O47" s="6" t="str">
        <f t="shared" si="4"/>
        <v>GST Paid</v>
      </c>
      <c r="P47" t="str">
        <f t="shared" si="5"/>
        <v xml:space="preserve">TUGLAKABAD ICD (INTKD6) - Current Que LEO Date EP Copy Print Status DBK Scroll No Scroll Date EGM Integration Status
HIST  10 AUG 2017 00:08  Y  21652/2017  14 SEP 2017 00:09  Y </v>
      </c>
    </row>
    <row r="48" spans="1:16">
      <c r="A48" t="s">
        <v>16</v>
      </c>
      <c r="B48">
        <v>7905312</v>
      </c>
      <c r="C48" t="s">
        <v>229</v>
      </c>
      <c r="D48" t="s">
        <v>235</v>
      </c>
      <c r="E48" t="s">
        <v>236</v>
      </c>
      <c r="F48" t="s">
        <v>237</v>
      </c>
      <c r="G48" t="s">
        <v>21</v>
      </c>
      <c r="H48" t="s">
        <v>238</v>
      </c>
      <c r="I48" t="s">
        <v>239</v>
      </c>
      <c r="J48" s="6" t="str">
        <f t="shared" si="0"/>
        <v>ROSL NOT CLAIMED</v>
      </c>
      <c r="K48" s="6" t="str">
        <f>IF(J48="","",IF(J48="ROSL CLAIMED","ROSL CLAIMED","ROSL NOT CLAIMED"))</f>
        <v>ROSL NOT CLAIMED</v>
      </c>
      <c r="L48" s="8" t="str">
        <f t="shared" si="1"/>
        <v>06  5248128  09</v>
      </c>
      <c r="M48" s="6">
        <f t="shared" si="2"/>
        <v>0</v>
      </c>
      <c r="N48" s="9">
        <f t="shared" ca="1" si="3"/>
        <v>3026</v>
      </c>
      <c r="O48" s="6" t="str">
        <f t="shared" si="4"/>
        <v>GST Paid</v>
      </c>
      <c r="P48" t="str">
        <f t="shared" si="5"/>
        <v xml:space="preserve">TUGLAKABAD ICD (INTKD6) - Current Que LEO Date EP Copy Print Status DBK Scroll No Scroll Date EGM Integration Status
HIST  14 AUG 2017 00:08  Y  21652/2017  14 SEP 2017 00:09  Y </v>
      </c>
    </row>
    <row r="49" spans="1:16">
      <c r="A49" t="s">
        <v>16</v>
      </c>
      <c r="B49">
        <v>7909008</v>
      </c>
      <c r="C49" t="s">
        <v>229</v>
      </c>
      <c r="D49" t="s">
        <v>240</v>
      </c>
      <c r="E49" t="s">
        <v>241</v>
      </c>
      <c r="F49" t="s">
        <v>242</v>
      </c>
      <c r="G49" t="s">
        <v>21</v>
      </c>
      <c r="H49" t="s">
        <v>243</v>
      </c>
      <c r="I49" t="s">
        <v>244</v>
      </c>
      <c r="J49" s="6" t="str">
        <f t="shared" si="0"/>
        <v>ROSL NOT CLAIMED</v>
      </c>
      <c r="K49" s="6" t="str">
        <f>IF(J49="","",IF(J49="ROSL CLAIMED","ROSL CLAIMED","ROSL NOT CLAIMED"))</f>
        <v>ROSL NOT CLAIMED</v>
      </c>
      <c r="L49" s="8" t="str">
        <f t="shared" si="1"/>
        <v>NULL</v>
      </c>
      <c r="M49" s="6">
        <f t="shared" si="2"/>
        <v>0</v>
      </c>
      <c r="N49" s="9">
        <f t="shared" ca="1" si="3"/>
        <v>3026</v>
      </c>
      <c r="O49" s="6" t="str">
        <f t="shared" si="4"/>
        <v>GST Paid</v>
      </c>
      <c r="P49" t="str">
        <f t="shared" si="5"/>
        <v xml:space="preserve">TUGLAKABAD ICD (INTKD6) - 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 </v>
      </c>
    </row>
    <row r="50" spans="1:16">
      <c r="A50" t="s">
        <v>16</v>
      </c>
      <c r="B50">
        <v>7918086</v>
      </c>
      <c r="C50" t="s">
        <v>229</v>
      </c>
      <c r="D50" t="s">
        <v>245</v>
      </c>
      <c r="E50" t="s">
        <v>144</v>
      </c>
      <c r="F50" t="s">
        <v>218</v>
      </c>
      <c r="G50" t="s">
        <v>21</v>
      </c>
      <c r="H50" t="s">
        <v>246</v>
      </c>
      <c r="I50" t="s">
        <v>220</v>
      </c>
      <c r="J50" s="6" t="str">
        <f t="shared" si="0"/>
        <v>ROSL NOT CLAIMED</v>
      </c>
      <c r="K50" s="6" t="str">
        <f>IF(J50="","",IF(J50="ROSL CLAIMED","ROSL CLAIMED","ROSL NOT CLAIMED"))</f>
        <v>ROSL NOT CLAIMED</v>
      </c>
      <c r="L50" s="8" t="str">
        <f t="shared" si="1"/>
        <v>NULL</v>
      </c>
      <c r="M50" s="6">
        <f t="shared" si="2"/>
        <v>0</v>
      </c>
      <c r="N50" s="9">
        <f t="shared" ca="1" si="3"/>
        <v>3026</v>
      </c>
      <c r="O50" s="6" t="str">
        <f t="shared" si="4"/>
        <v>GST Paid</v>
      </c>
      <c r="P50" t="str">
        <f t="shared" si="5"/>
        <v xml:space="preserve">TUGLAKABAD ICD (INTKD6) - Current Que LEO Date EP Copy Print Status DBK Scroll No Scroll Date EGM Integration Status
HIST  11 AUG 2017 00:08  Y  21593/2017  12 SEP 2017 00:09  Y </v>
      </c>
    </row>
    <row r="51" spans="1:16">
      <c r="A51" t="s">
        <v>16</v>
      </c>
      <c r="B51">
        <v>7924066</v>
      </c>
      <c r="C51" t="s">
        <v>247</v>
      </c>
      <c r="D51" t="s">
        <v>248</v>
      </c>
      <c r="E51" t="s">
        <v>249</v>
      </c>
      <c r="F51" t="s">
        <v>250</v>
      </c>
      <c r="G51" t="s">
        <v>21</v>
      </c>
      <c r="H51" t="s">
        <v>251</v>
      </c>
      <c r="I51" t="s">
        <v>252</v>
      </c>
      <c r="J51" s="6" t="str">
        <f t="shared" si="0"/>
        <v>ROSL NOT CLAIMED</v>
      </c>
      <c r="K51" s="6" t="str">
        <f>IF(J51="","",IF(J51="ROSL CLAIMED","ROSL CLAIMED","ROSL NOT CLAIMED"))</f>
        <v>ROSL NOT CLAIMED</v>
      </c>
      <c r="L51" s="8" t="str">
        <f t="shared" si="1"/>
        <v>NULL</v>
      </c>
      <c r="M51" s="6">
        <f t="shared" si="2"/>
        <v>0</v>
      </c>
      <c r="N51" s="9">
        <f t="shared" ca="1" si="3"/>
        <v>3025</v>
      </c>
      <c r="O51" s="6" t="str">
        <f t="shared" si="4"/>
        <v>GST Paid</v>
      </c>
      <c r="P51" t="str">
        <f t="shared" si="5"/>
        <v xml:space="preserve">TUGLAKABAD ICD (INTKD6) - Current Que LEO Date EP Copy Print Status DBK Scroll No Scroll Date EGM Integration Status
HIST  16 AUG 2017 00:08  Y  21593/2017  12 SEP 2017 00:09  Y </v>
      </c>
    </row>
    <row r="52" spans="1:16">
      <c r="A52" t="s">
        <v>16</v>
      </c>
      <c r="B52">
        <v>7935521</v>
      </c>
      <c r="C52" t="s">
        <v>247</v>
      </c>
      <c r="D52" t="s">
        <v>253</v>
      </c>
      <c r="E52" t="s">
        <v>236</v>
      </c>
      <c r="F52" t="s">
        <v>232</v>
      </c>
      <c r="G52" t="s">
        <v>21</v>
      </c>
      <c r="H52" t="s">
        <v>254</v>
      </c>
      <c r="I52" t="s">
        <v>34</v>
      </c>
      <c r="J52" s="6" t="str">
        <f t="shared" si="0"/>
        <v>ROSL NOT CLAIMED</v>
      </c>
      <c r="K52" s="6" t="str">
        <f>IF(J52="","",IF(J52="ROSL CLAIMED","ROSL CLAIMED","ROSL NOT CLAIMED"))</f>
        <v>ROSL NOT CLAIMED</v>
      </c>
      <c r="L52" s="8" t="str">
        <f t="shared" si="1"/>
        <v>NULL</v>
      </c>
      <c r="M52" s="6">
        <f t="shared" si="2"/>
        <v>0</v>
      </c>
      <c r="N52" s="9">
        <f t="shared" ca="1" si="3"/>
        <v>3025</v>
      </c>
      <c r="O52" s="6" t="str">
        <f t="shared" si="4"/>
        <v>GST Paid</v>
      </c>
      <c r="P52" t="str">
        <f t="shared" si="5"/>
        <v xml:space="preserve">TUGLAKABAD ICD (INTKD6) - Current Que LEO Date EP Copy Print Status DBK Scroll No Scroll Date EGM Integration Status
HIST  14 AUG 2017 00:08  Y  21652/2017  14 SEP 2017 00:09  Y </v>
      </c>
    </row>
    <row r="53" spans="1:16">
      <c r="A53" t="s">
        <v>16</v>
      </c>
      <c r="B53">
        <v>7944561</v>
      </c>
      <c r="C53" t="s">
        <v>247</v>
      </c>
      <c r="D53" t="s">
        <v>255</v>
      </c>
      <c r="E53" t="s">
        <v>256</v>
      </c>
      <c r="F53" t="s">
        <v>257</v>
      </c>
      <c r="G53" t="s">
        <v>21</v>
      </c>
      <c r="H53" t="s">
        <v>258</v>
      </c>
      <c r="I53" t="s">
        <v>259</v>
      </c>
      <c r="J53" s="6" t="str">
        <f t="shared" si="0"/>
        <v>ROSL NOT CLAIMED</v>
      </c>
      <c r="K53" s="6" t="str">
        <f>IF(J53="","",IF(J53="ROSL CLAIMED","ROSL CLAIMED","ROSL NOT CLAIMED"))</f>
        <v>ROSL NOT CLAIMED</v>
      </c>
      <c r="L53" s="8" t="str">
        <f t="shared" si="1"/>
        <v>NULL</v>
      </c>
      <c r="M53" s="6">
        <f t="shared" si="2"/>
        <v>0</v>
      </c>
      <c r="N53" s="9">
        <f t="shared" ca="1" si="3"/>
        <v>3025</v>
      </c>
      <c r="O53" s="6" t="str">
        <f t="shared" si="4"/>
        <v>GST Paid</v>
      </c>
      <c r="P53" t="str">
        <f t="shared" si="5"/>
        <v xml:space="preserve">TUGLAKABAD ICD (INTKD6) - Current Que LEO Date EP Copy Print Status DBK Scroll No Scroll Date EGM Integration Status
HIST  21 AUG 2017 00:08  Y  24432/2018  25 MAR 2018 00:03  Y </v>
      </c>
    </row>
    <row r="54" spans="1:16">
      <c r="A54" t="s">
        <v>16</v>
      </c>
      <c r="B54">
        <v>7945866</v>
      </c>
      <c r="C54" t="s">
        <v>247</v>
      </c>
      <c r="D54" t="s">
        <v>260</v>
      </c>
      <c r="E54" t="s">
        <v>261</v>
      </c>
      <c r="F54" t="s">
        <v>192</v>
      </c>
      <c r="G54" t="s">
        <v>39</v>
      </c>
      <c r="H54" t="s">
        <v>262</v>
      </c>
      <c r="I54" t="s">
        <v>194</v>
      </c>
      <c r="J54" s="6" t="str">
        <f t="shared" si="0"/>
        <v>ROSL CLAIMED</v>
      </c>
      <c r="K54" s="6" t="str">
        <f>IF(J54="","",IF(J54="ROSL CLAIMED","ROSL CLAIMED","ROSL NOT CLAIMED"))</f>
        <v>ROSL CLAIMED</v>
      </c>
      <c r="L54" s="8" t="str">
        <f t="shared" si="1"/>
        <v>NULL</v>
      </c>
      <c r="M54" s="6">
        <f t="shared" si="2"/>
        <v>1</v>
      </c>
      <c r="N54" s="9">
        <f t="shared" ca="1" si="3"/>
        <v>3025</v>
      </c>
      <c r="O54" s="6" t="str">
        <f t="shared" si="4"/>
        <v>GST Paid</v>
      </c>
      <c r="P54" t="str">
        <f t="shared" si="5"/>
        <v xml:space="preserve">TUGLAKABAD ICD (INTKD6) - Current Que LEO Date EP Copy Print Status DBK Scroll No Scroll Date EGM Integration Status
HIST  14 AUG 2017 00:08  Y  N.A.  N.A.  Y </v>
      </c>
    </row>
    <row r="55" spans="1:16">
      <c r="A55" t="s">
        <v>16</v>
      </c>
      <c r="B55">
        <v>7955843</v>
      </c>
      <c r="C55" t="s">
        <v>263</v>
      </c>
      <c r="D55" t="s">
        <v>264</v>
      </c>
      <c r="E55" t="s">
        <v>265</v>
      </c>
      <c r="F55" t="s">
        <v>266</v>
      </c>
      <c r="G55" t="s">
        <v>21</v>
      </c>
      <c r="H55" t="s">
        <v>267</v>
      </c>
      <c r="I55" t="s">
        <v>34</v>
      </c>
      <c r="J55" s="6" t="str">
        <f t="shared" si="0"/>
        <v>ROSL NOT CLAIMED</v>
      </c>
      <c r="K55" s="6" t="str">
        <f>IF(J55="","",IF(J55="ROSL CLAIMED","ROSL CLAIMED","ROSL NOT CLAIMED"))</f>
        <v>ROSL NOT CLAIMED</v>
      </c>
      <c r="L55" s="8" t="str">
        <f t="shared" si="1"/>
        <v>NULL</v>
      </c>
      <c r="M55" s="6">
        <f t="shared" si="2"/>
        <v>0</v>
      </c>
      <c r="N55" s="9">
        <f t="shared" ca="1" si="3"/>
        <v>3024</v>
      </c>
      <c r="O55" s="6" t="str">
        <f t="shared" si="4"/>
        <v>GST Paid</v>
      </c>
      <c r="P55" t="str">
        <f t="shared" si="5"/>
        <v xml:space="preserve">TUGLAKABAD ICD (INTKD6) - Current Que LEO Date EP Copy Print Status DBK Scroll No Scroll Date EGM Integration Status
HIST  16 AUG 2017 00:08  Y  21843/2017  21 SEP 2017 00:09  Y </v>
      </c>
    </row>
    <row r="56" spans="1:16">
      <c r="A56" t="s">
        <v>16</v>
      </c>
      <c r="B56">
        <v>7958295</v>
      </c>
      <c r="C56" t="s">
        <v>263</v>
      </c>
      <c r="D56" t="s">
        <v>268</v>
      </c>
      <c r="E56" t="s">
        <v>269</v>
      </c>
      <c r="F56" t="s">
        <v>270</v>
      </c>
      <c r="G56" t="s">
        <v>21</v>
      </c>
      <c r="H56" t="s">
        <v>271</v>
      </c>
      <c r="I56" t="s">
        <v>34</v>
      </c>
      <c r="J56" s="6" t="str">
        <f t="shared" si="0"/>
        <v>ROSL NOT CLAIMED</v>
      </c>
      <c r="K56" s="6" t="str">
        <f>IF(J56="","",IF(J56="ROSL CLAIMED","ROSL CLAIMED","ROSL NOT CLAIMED"))</f>
        <v>ROSL NOT CLAIMED</v>
      </c>
      <c r="L56" s="8" t="str">
        <f t="shared" si="1"/>
        <v>06450  11 AUG 2</v>
      </c>
      <c r="M56" s="6">
        <f t="shared" si="2"/>
        <v>0</v>
      </c>
      <c r="N56" s="9">
        <f t="shared" ca="1" si="3"/>
        <v>3024</v>
      </c>
      <c r="O56" s="6" t="str">
        <f t="shared" si="4"/>
        <v>GST Paid</v>
      </c>
      <c r="P56" t="str">
        <f t="shared" si="5"/>
        <v xml:space="preserve">TUGLAKABAD ICD (INTKD6) - Current Que LEO Date EP Copy Print Status DBK Scroll No Scroll Date EGM Integration Status
HIST  24 AUG 2017 00:08  Y  21652/2017  14 SEP 2017 00:09  Y </v>
      </c>
    </row>
    <row r="57" spans="1:16">
      <c r="A57" t="s">
        <v>16</v>
      </c>
      <c r="B57">
        <v>7961683</v>
      </c>
      <c r="C57" t="s">
        <v>263</v>
      </c>
      <c r="D57" t="s">
        <v>272</v>
      </c>
      <c r="E57" t="s">
        <v>236</v>
      </c>
      <c r="F57" t="s">
        <v>232</v>
      </c>
      <c r="G57" t="s">
        <v>21</v>
      </c>
      <c r="H57" t="s">
        <v>273</v>
      </c>
      <c r="I57" t="s">
        <v>274</v>
      </c>
      <c r="J57" s="6" t="str">
        <f t="shared" si="0"/>
        <v>ROSL NOT CLAIMED</v>
      </c>
      <c r="K57" s="6" t="str">
        <f>IF(J57="","",IF(J57="ROSL CLAIMED","ROSL CLAIMED","ROSL NOT CLAIMED"))</f>
        <v>ROSL NOT CLAIMED</v>
      </c>
      <c r="L57" s="8" t="str">
        <f t="shared" si="1"/>
        <v>NULL</v>
      </c>
      <c r="M57" s="6">
        <f t="shared" si="2"/>
        <v>0</v>
      </c>
      <c r="N57" s="9">
        <f t="shared" ca="1" si="3"/>
        <v>3024</v>
      </c>
      <c r="O57" s="6" t="str">
        <f t="shared" si="4"/>
        <v>GST Paid</v>
      </c>
      <c r="P57" t="str">
        <f t="shared" si="5"/>
        <v xml:space="preserve">TUGLAKABAD ICD (INTKD6) - Current Que LEO Date EP Copy Print Status DBK Scroll No Scroll Date EGM Integration Status
HIST  14 AUG 2017 00:08  Y  21652/2017  14 SEP 2017 00:09  Y </v>
      </c>
    </row>
    <row r="58" spans="1:16">
      <c r="A58" t="s">
        <v>16</v>
      </c>
      <c r="B58">
        <v>7968231</v>
      </c>
      <c r="C58" t="s">
        <v>263</v>
      </c>
      <c r="D58" t="s">
        <v>275</v>
      </c>
      <c r="E58" t="s">
        <v>276</v>
      </c>
      <c r="F58" t="s">
        <v>277</v>
      </c>
      <c r="G58" t="s">
        <v>39</v>
      </c>
      <c r="H58" t="s">
        <v>278</v>
      </c>
      <c r="I58" t="s">
        <v>220</v>
      </c>
      <c r="J58" s="6" t="str">
        <f t="shared" si="0"/>
        <v>ROSL CLAIMED</v>
      </c>
      <c r="K58" s="6" t="str">
        <f>IF(J58="","",IF(J58="ROSL CLAIMED","ROSL CLAIMED","ROSL NOT CLAIMED"))</f>
        <v>ROSL CLAIMED</v>
      </c>
      <c r="L58" s="8" t="str">
        <f t="shared" si="1"/>
        <v>NULL</v>
      </c>
      <c r="M58" s="6">
        <f t="shared" si="2"/>
        <v>1</v>
      </c>
      <c r="N58" s="9">
        <f t="shared" ca="1" si="3"/>
        <v>3024</v>
      </c>
      <c r="O58" s="6" t="str">
        <f t="shared" si="4"/>
        <v>GST Paid</v>
      </c>
      <c r="P58" t="str">
        <f t="shared" si="5"/>
        <v xml:space="preserve">TUGLAKABAD ICD (INTKD6) - Current Que LEO Date EP Copy Print Status DBK Scroll No Scroll Date EGM Integration Status
HIST  16 AUG 2017 00:08  Y  N.A.  N.A.  Y </v>
      </c>
    </row>
    <row r="59" spans="1:16">
      <c r="A59" t="s">
        <v>16</v>
      </c>
      <c r="B59">
        <v>7970037</v>
      </c>
      <c r="C59" t="s">
        <v>263</v>
      </c>
      <c r="D59" t="s">
        <v>279</v>
      </c>
      <c r="E59" t="s">
        <v>280</v>
      </c>
      <c r="F59" t="s">
        <v>281</v>
      </c>
      <c r="G59" t="s">
        <v>21</v>
      </c>
      <c r="H59" t="s">
        <v>282</v>
      </c>
      <c r="I59" t="s">
        <v>283</v>
      </c>
      <c r="J59" s="6" t="str">
        <f t="shared" si="0"/>
        <v>ROSL NOT CLAIMED</v>
      </c>
      <c r="K59" s="6" t="str">
        <f>IF(J59="","",IF(J59="ROSL CLAIMED","ROSL CLAIMED","ROSL NOT CLAIMED"))</f>
        <v>ROSL NOT CLAIMED</v>
      </c>
      <c r="L59" s="8" t="str">
        <f t="shared" si="1"/>
        <v>NULL</v>
      </c>
      <c r="M59" s="6">
        <f t="shared" si="2"/>
        <v>0</v>
      </c>
      <c r="N59" s="9">
        <f t="shared" ca="1" si="3"/>
        <v>3024</v>
      </c>
      <c r="O59" s="6" t="str">
        <f t="shared" si="4"/>
        <v>GST Paid</v>
      </c>
      <c r="P59" t="str">
        <f t="shared" si="5"/>
        <v xml:space="preserve">TUGLAKABAD ICD (INTKD6) - Current Que LEO Date EP Copy Print Status DBK Scroll No Scroll Date EGM Integration Status
HIST  17 AUG 2017 00:08  Y  21843/2017  21 SEP 2017 00:09  Y </v>
      </c>
    </row>
    <row r="60" spans="1:16">
      <c r="A60" t="s">
        <v>16</v>
      </c>
      <c r="B60">
        <v>7970441</v>
      </c>
      <c r="C60" t="s">
        <v>263</v>
      </c>
      <c r="D60" t="s">
        <v>284</v>
      </c>
      <c r="E60" t="s">
        <v>191</v>
      </c>
      <c r="F60" t="s">
        <v>285</v>
      </c>
      <c r="G60" t="s">
        <v>21</v>
      </c>
      <c r="H60" t="s">
        <v>286</v>
      </c>
      <c r="I60" t="s">
        <v>287</v>
      </c>
      <c r="J60" s="6" t="str">
        <f t="shared" si="0"/>
        <v>ROSL NOT CLAIMED</v>
      </c>
      <c r="K60" s="6" t="str">
        <f>IF(J60="","",IF(J60="ROSL CLAIMED","ROSL CLAIMED","ROSL NOT CLAIMED"))</f>
        <v>ROSL NOT CLAIMED</v>
      </c>
      <c r="L60" s="8" t="str">
        <f t="shared" si="1"/>
        <v>NULL</v>
      </c>
      <c r="M60" s="6">
        <f t="shared" si="2"/>
        <v>0</v>
      </c>
      <c r="N60" s="9">
        <f t="shared" ca="1" si="3"/>
        <v>3024</v>
      </c>
      <c r="O60" s="6" t="str">
        <f t="shared" si="4"/>
        <v>GST Paid</v>
      </c>
      <c r="P60" t="str">
        <f t="shared" si="5"/>
        <v xml:space="preserve">TUGLAKABAD ICD (INTKD6) - Current Que LEO Date EP Copy Print Status DBK Scroll No Scroll Date EGM Integration Status
HIST  18 AUG 2017 00:08  Y  21593/2017  12 SEP 2017 00:09  Y </v>
      </c>
    </row>
    <row r="61" spans="1:16">
      <c r="A61" t="s">
        <v>16</v>
      </c>
      <c r="B61">
        <v>7971432</v>
      </c>
      <c r="C61" t="s">
        <v>263</v>
      </c>
      <c r="D61" t="s">
        <v>288</v>
      </c>
      <c r="E61" t="s">
        <v>249</v>
      </c>
      <c r="F61" t="s">
        <v>289</v>
      </c>
      <c r="G61" t="s">
        <v>21</v>
      </c>
      <c r="H61" t="s">
        <v>290</v>
      </c>
      <c r="I61" t="s">
        <v>291</v>
      </c>
      <c r="J61" s="6" t="str">
        <f t="shared" si="0"/>
        <v>ROSL NOT CLAIMED</v>
      </c>
      <c r="K61" s="6" t="str">
        <f>IF(J61="","",IF(J61="ROSL CLAIMED","ROSL CLAIMED","ROSL NOT CLAIMED"))</f>
        <v>ROSL NOT CLAIMED</v>
      </c>
      <c r="L61" s="8" t="str">
        <f t="shared" si="1"/>
        <v>NULL</v>
      </c>
      <c r="M61" s="6">
        <f t="shared" si="2"/>
        <v>0</v>
      </c>
      <c r="N61" s="9">
        <f t="shared" ca="1" si="3"/>
        <v>3024</v>
      </c>
      <c r="O61" s="6" t="str">
        <f t="shared" si="4"/>
        <v>GST Paid</v>
      </c>
      <c r="P61" t="str">
        <f t="shared" si="5"/>
        <v xml:space="preserve">TUGLAKABAD ICD (INTKD6) - Current Que LEO Date EP Copy Print Status DBK Scroll No Scroll Date EGM Integration Status
HIST  16 AUG 2017 00:08  Y  21593/2017  12 SEP 2017 00:09  Y </v>
      </c>
    </row>
    <row r="62" spans="1:16">
      <c r="A62" t="s">
        <v>16</v>
      </c>
      <c r="B62">
        <v>7984652</v>
      </c>
      <c r="C62" t="s">
        <v>292</v>
      </c>
      <c r="D62" t="s">
        <v>293</v>
      </c>
      <c r="E62" t="s">
        <v>294</v>
      </c>
      <c r="F62" t="s">
        <v>295</v>
      </c>
      <c r="G62" t="s">
        <v>21</v>
      </c>
      <c r="H62" t="s">
        <v>296</v>
      </c>
      <c r="I62" t="s">
        <v>297</v>
      </c>
      <c r="J62" s="6" t="str">
        <f t="shared" si="0"/>
        <v>ROSL NOT CLAIMED</v>
      </c>
      <c r="K62" s="6" t="str">
        <f>IF(J62="","",IF(J62="ROSL CLAIMED","ROSL CLAIMED","ROSL NOT CLAIMED"))</f>
        <v>ROSL NOT CLAIMED</v>
      </c>
      <c r="L62" s="8" t="str">
        <f t="shared" si="1"/>
        <v>NULL</v>
      </c>
      <c r="M62" s="6">
        <f t="shared" si="2"/>
        <v>0</v>
      </c>
      <c r="N62" s="9">
        <f t="shared" ca="1" si="3"/>
        <v>3023</v>
      </c>
      <c r="O62" s="6" t="str">
        <f t="shared" si="4"/>
        <v>GST Paid</v>
      </c>
      <c r="P62" t="str">
        <f t="shared" si="5"/>
        <v xml:space="preserve">TUGLAKABAD ICD (INTKD6) - Current Que LEO Date EP Copy Print Status DBK Scroll No Scroll Date EGM Integration Status
HIST  18 AUG 2017 00:08  Y  21652/2017  14 SEP 2017 00:09  Y </v>
      </c>
    </row>
    <row r="63" spans="1:16">
      <c r="A63" t="s">
        <v>16</v>
      </c>
      <c r="B63">
        <v>8018847</v>
      </c>
      <c r="C63" t="s">
        <v>298</v>
      </c>
      <c r="D63" t="s">
        <v>299</v>
      </c>
      <c r="E63" t="s">
        <v>294</v>
      </c>
      <c r="F63" t="s">
        <v>300</v>
      </c>
      <c r="G63" t="s">
        <v>21</v>
      </c>
      <c r="H63" t="s">
        <v>301</v>
      </c>
      <c r="I63" t="s">
        <v>302</v>
      </c>
      <c r="J63" s="6" t="str">
        <f t="shared" si="0"/>
        <v>ROSL NOT CLAIMED</v>
      </c>
      <c r="K63" s="6" t="str">
        <f>IF(J63="","",IF(J63="ROSL CLAIMED","ROSL CLAIMED","ROSL NOT CLAIMED"))</f>
        <v>ROSL NOT CLAIMED</v>
      </c>
      <c r="L63" s="8" t="str">
        <f t="shared" si="1"/>
        <v>063  15 AUG 201</v>
      </c>
      <c r="M63" s="6">
        <f t="shared" si="2"/>
        <v>0</v>
      </c>
      <c r="N63" s="9">
        <f t="shared" ca="1" si="3"/>
        <v>3020</v>
      </c>
      <c r="O63" s="6" t="str">
        <f t="shared" si="4"/>
        <v>GST Paid</v>
      </c>
      <c r="P63" t="str">
        <f t="shared" si="5"/>
        <v xml:space="preserve">TUGLAKABAD ICD (INTKD6) - Current Que LEO Date EP Copy Print Status DBK Scroll No Scroll Date EGM Integration Status
HIST  18 AUG 2017 00:08  Y  21652/2017  14 SEP 2017 00:09  Y </v>
      </c>
    </row>
    <row r="64" spans="1:16">
      <c r="A64" t="s">
        <v>16</v>
      </c>
      <c r="B64">
        <v>8022473</v>
      </c>
      <c r="C64" t="s">
        <v>303</v>
      </c>
      <c r="D64" t="s">
        <v>304</v>
      </c>
      <c r="E64" t="s">
        <v>305</v>
      </c>
      <c r="F64" t="s">
        <v>306</v>
      </c>
      <c r="G64" t="s">
        <v>21</v>
      </c>
      <c r="H64" t="s">
        <v>307</v>
      </c>
      <c r="I64" t="s">
        <v>308</v>
      </c>
      <c r="J64" s="6" t="str">
        <f t="shared" si="0"/>
        <v>ROSL NOT CLAIMED</v>
      </c>
      <c r="K64" s="6" t="str">
        <f>IF(J64="","",IF(J64="ROSL CLAIMED","ROSL CLAIMED","ROSL NOT CLAIMED"))</f>
        <v>ROSL NOT CLAIMED</v>
      </c>
      <c r="L64" s="8" t="str">
        <f t="shared" si="1"/>
        <v>062013  FHMPS10</v>
      </c>
      <c r="M64" s="6">
        <f t="shared" si="2"/>
        <v>0</v>
      </c>
      <c r="N64" s="9">
        <f t="shared" ca="1" si="3"/>
        <v>3019</v>
      </c>
      <c r="O64" s="6" t="str">
        <f t="shared" si="4"/>
        <v>GST Paid</v>
      </c>
      <c r="P64" t="str">
        <f t="shared" si="5"/>
        <v xml:space="preserve">TUGLAKABAD ICD (INTKD6) - Current Que LEO Date EP Copy Print Status DBK Scroll No Scroll Date EGM Integration Status
HIST  17 AUG 2017 00:08  Y  21652/2017  14 SEP 2017 00:09  Y </v>
      </c>
    </row>
    <row r="65" spans="1:16">
      <c r="A65" t="s">
        <v>16</v>
      </c>
      <c r="B65">
        <v>8035307</v>
      </c>
      <c r="C65" t="s">
        <v>303</v>
      </c>
      <c r="D65" t="s">
        <v>309</v>
      </c>
      <c r="E65" t="s">
        <v>310</v>
      </c>
      <c r="F65" t="s">
        <v>311</v>
      </c>
      <c r="G65" t="s">
        <v>21</v>
      </c>
      <c r="H65" t="s">
        <v>312</v>
      </c>
      <c r="I65" t="s">
        <v>313</v>
      </c>
      <c r="J65" s="6" t="str">
        <f t="shared" si="0"/>
        <v>ROSL NOT CLAIMED</v>
      </c>
      <c r="K65" s="6" t="str">
        <f>IF(J65="","",IF(J65="ROSL CLAIMED","ROSL CLAIMED","ROSL NOT CLAIMED"))</f>
        <v>ROSL NOT CLAIMED</v>
      </c>
      <c r="L65" s="8" t="str">
        <f t="shared" si="1"/>
        <v>NULL</v>
      </c>
      <c r="M65" s="6">
        <f t="shared" si="2"/>
        <v>0</v>
      </c>
      <c r="N65" s="9">
        <f t="shared" ca="1" si="3"/>
        <v>3019</v>
      </c>
      <c r="O65" s="6" t="str">
        <f t="shared" si="4"/>
        <v>GST Paid</v>
      </c>
      <c r="P65" t="str">
        <f t="shared" si="5"/>
        <v xml:space="preserve">TUGLAKABAD ICD (INTKD6) - Current Que LEO Date EP Copy Print Status DBK Scroll No Scroll Date EGM Integration Status
HIST  19 AUG 2017 00:08  Y  21843/2017  21 SEP 2017 00:09  Y </v>
      </c>
    </row>
    <row r="66" spans="1:16">
      <c r="A66" t="s">
        <v>16</v>
      </c>
      <c r="B66">
        <v>8039228</v>
      </c>
      <c r="C66" t="s">
        <v>303</v>
      </c>
      <c r="D66" t="s">
        <v>314</v>
      </c>
      <c r="E66" t="s">
        <v>315</v>
      </c>
      <c r="F66" t="s">
        <v>316</v>
      </c>
      <c r="G66" t="s">
        <v>21</v>
      </c>
      <c r="H66" t="s">
        <v>317</v>
      </c>
      <c r="I66" t="s">
        <v>34</v>
      </c>
      <c r="J66" s="6" t="str">
        <f t="shared" si="0"/>
        <v>ROSL NOT CLAIMED</v>
      </c>
      <c r="K66" s="6" t="str">
        <f>IF(J66="","",IF(J66="ROSL CLAIMED","ROSL CLAIMED","ROSL NOT CLAIMED"))</f>
        <v>ROSL NOT CLAIMED</v>
      </c>
      <c r="L66" s="8" t="str">
        <f t="shared" si="1"/>
        <v>064  AFYPK1878F</v>
      </c>
      <c r="M66" s="6">
        <f t="shared" si="2"/>
        <v>0</v>
      </c>
      <c r="N66" s="9">
        <f t="shared" ca="1" si="3"/>
        <v>3019</v>
      </c>
      <c r="O66" s="6" t="str">
        <f t="shared" si="4"/>
        <v>GST Paid</v>
      </c>
      <c r="P66" t="str">
        <f t="shared" si="5"/>
        <v xml:space="preserve">TUGLAKABAD ICD (INTKD6) - Current Que LEO Date EP Copy Print Status DBK Scroll No Scroll Date EGM Integration Status
HIST  23 AUG 2017 00:08  Y  21652/2017  14 SEP 2017 00:09  Y </v>
      </c>
    </row>
    <row r="67" spans="1:16">
      <c r="A67" t="s">
        <v>16</v>
      </c>
      <c r="B67">
        <v>8055596</v>
      </c>
      <c r="C67" t="s">
        <v>318</v>
      </c>
      <c r="D67" t="s">
        <v>319</v>
      </c>
      <c r="E67" t="s">
        <v>320</v>
      </c>
      <c r="F67" t="s">
        <v>321</v>
      </c>
      <c r="G67" t="s">
        <v>21</v>
      </c>
      <c r="H67" t="s">
        <v>322</v>
      </c>
      <c r="I67" t="s">
        <v>323</v>
      </c>
      <c r="J67" s="6" t="str">
        <f t="shared" ref="J67:J130" si="6">IF(ISNUMBER(SEARCH("NULL",G67)),"ROSL CLAIMED",
IF(ISNUMBER(SEARCH("ROSL NOT CLAIMED",G67)),"ROSL NOT CLAIMED","NULL"))</f>
        <v>ROSL NOT CLAIMED</v>
      </c>
      <c r="K67" s="6" t="str">
        <f>IF(J67="","",IF(J67="ROSL CLAIMED","ROSL CLAIMED","ROSL NOT CLAIMED"))</f>
        <v>ROSL NOT CLAIMED</v>
      </c>
      <c r="L67" s="8" t="str">
        <f t="shared" ref="L67:L130" si="7">IFERROR(MID(D67, SEARCH("06", D67), 15), "NULL")</f>
        <v>NULL</v>
      </c>
      <c r="M67" s="6">
        <f t="shared" ref="M67:M130" si="8">IF(K67="","",IF(K67="ROSL CLAIMED",1,IF(K67="ROSL NOT CLAIMED",0,"")))</f>
        <v>0</v>
      </c>
      <c r="N67" s="9">
        <f t="shared" ref="N67:N130" ca="1" si="9">IF(C67&lt;&gt;"", TODAY()-C67, "")</f>
        <v>3018</v>
      </c>
      <c r="O67" s="6" t="str">
        <f t="shared" ref="O67:O130" si="10">IF(H67=0,"Missing GST", IF(H67&gt;0,"GST Paid",""))</f>
        <v>GST Paid</v>
      </c>
      <c r="P67" t="str">
        <f t="shared" ref="P67:P130" si="11">CONCATENATE(A67," - ",E67)</f>
        <v xml:space="preserve">TUGLAKABAD ICD (INTKD6) - Current Que LEO Date EP Copy Print Status DBK Scroll No Scroll Date EGM Integration Status
HIST  21 AUG 2017 00:08  Y  21652/2017  14 SEP 2017 00:09  Y </v>
      </c>
    </row>
    <row r="68" spans="1:16">
      <c r="A68" t="s">
        <v>16</v>
      </c>
      <c r="B68">
        <v>8061134</v>
      </c>
      <c r="C68" t="s">
        <v>318</v>
      </c>
      <c r="D68" t="s">
        <v>324</v>
      </c>
      <c r="E68" t="s">
        <v>325</v>
      </c>
      <c r="F68" t="s">
        <v>326</v>
      </c>
      <c r="G68" t="s">
        <v>21</v>
      </c>
      <c r="H68" t="s">
        <v>327</v>
      </c>
      <c r="I68" t="s">
        <v>328</v>
      </c>
      <c r="J68" s="6" t="str">
        <f t="shared" si="6"/>
        <v>ROSL NOT CLAIMED</v>
      </c>
      <c r="K68" s="6" t="str">
        <f>IF(J68="","",IF(J68="ROSL CLAIMED","ROSL CLAIMED","ROSL NOT CLAIMED"))</f>
        <v>ROSL NOT CLAIMED</v>
      </c>
      <c r="L68" s="8" t="str">
        <f t="shared" si="7"/>
        <v>064  AFYPK1878F</v>
      </c>
      <c r="M68" s="6">
        <f t="shared" si="8"/>
        <v>0</v>
      </c>
      <c r="N68" s="9">
        <f t="shared" ca="1" si="9"/>
        <v>3018</v>
      </c>
      <c r="O68" s="6" t="str">
        <f t="shared" si="10"/>
        <v>GST Paid</v>
      </c>
      <c r="P68" t="str">
        <f t="shared" si="11"/>
        <v xml:space="preserve">TUGLAKABAD ICD (INTKD6) - Current Que LEO Date EP Copy Print Status DBK Scroll No Scroll Date EGM Integration Status
HIST  24 AUG 2017 00:08  Y  21843/2017  21 SEP 2017 00:09  Y </v>
      </c>
    </row>
    <row r="69" spans="1:16">
      <c r="A69" t="s">
        <v>16</v>
      </c>
      <c r="B69">
        <v>8065467</v>
      </c>
      <c r="C69" t="s">
        <v>318</v>
      </c>
      <c r="D69" t="s">
        <v>329</v>
      </c>
      <c r="E69" t="s">
        <v>269</v>
      </c>
      <c r="F69" t="s">
        <v>330</v>
      </c>
      <c r="G69" t="s">
        <v>113</v>
      </c>
      <c r="H69" t="s">
        <v>331</v>
      </c>
      <c r="I69" t="s">
        <v>220</v>
      </c>
      <c r="J69" s="6" t="str">
        <f t="shared" si="6"/>
        <v>NULL</v>
      </c>
      <c r="K69" s="6" t="str">
        <f>IF(J69="","",IF(J69="ROSL CLAIMED","ROSL CLAIMED","ROSL NOT CLAIMED"))</f>
        <v>ROSL NOT CLAIMED</v>
      </c>
      <c r="L69" s="8" t="str">
        <f t="shared" si="7"/>
        <v>NULL</v>
      </c>
      <c r="M69" s="6">
        <f t="shared" si="8"/>
        <v>0</v>
      </c>
      <c r="N69" s="9">
        <f t="shared" ca="1" si="9"/>
        <v>3018</v>
      </c>
      <c r="O69" s="6" t="str">
        <f t="shared" si="10"/>
        <v>GST Paid</v>
      </c>
      <c r="P69" t="str">
        <f t="shared" si="11"/>
        <v xml:space="preserve">TUGLAKABAD ICD (INTKD6) - Current Que LEO Date EP Copy Print Status DBK Scroll No Scroll Date EGM Integration Status
HIST  24 AUG 2017 00:08  Y  21652/2017  14 SEP 2017 00:09  Y </v>
      </c>
    </row>
    <row r="70" spans="1:16">
      <c r="A70" t="s">
        <v>16</v>
      </c>
      <c r="B70">
        <v>8065602</v>
      </c>
      <c r="C70" t="s">
        <v>318</v>
      </c>
      <c r="D70" t="s">
        <v>332</v>
      </c>
      <c r="E70" t="s">
        <v>333</v>
      </c>
      <c r="F70" t="s">
        <v>334</v>
      </c>
      <c r="G70" t="s">
        <v>39</v>
      </c>
      <c r="H70" t="s">
        <v>335</v>
      </c>
      <c r="I70" t="s">
        <v>336</v>
      </c>
      <c r="J70" s="6" t="str">
        <f t="shared" si="6"/>
        <v>ROSL CLAIMED</v>
      </c>
      <c r="K70" s="6" t="str">
        <f>IF(J70="","",IF(J70="ROSL CLAIMED","ROSL CLAIMED","ROSL NOT CLAIMED"))</f>
        <v>ROSL CLAIMED</v>
      </c>
      <c r="L70" s="8" t="str">
        <f t="shared" si="7"/>
        <v>NULL</v>
      </c>
      <c r="M70" s="6">
        <f t="shared" si="8"/>
        <v>1</v>
      </c>
      <c r="N70" s="9">
        <f t="shared" ca="1" si="9"/>
        <v>3018</v>
      </c>
      <c r="O70" s="6" t="str">
        <f t="shared" si="10"/>
        <v>GST Paid</v>
      </c>
      <c r="P70" t="str">
        <f t="shared" si="11"/>
        <v xml:space="preserve">TUGLAKABAD ICD (INTKD6) - Current Que LEO Date EP Copy Print Status DBK Scroll No Scroll Date EGM Integration Status
HIST  19 AUG 2017 00:08  R  N.A.  N.A.  Y </v>
      </c>
    </row>
    <row r="71" spans="1:16">
      <c r="A71" t="s">
        <v>16</v>
      </c>
      <c r="B71">
        <v>8067051</v>
      </c>
      <c r="C71" t="s">
        <v>318</v>
      </c>
      <c r="D71" t="s">
        <v>337</v>
      </c>
      <c r="E71" t="s">
        <v>338</v>
      </c>
      <c r="F71" t="s">
        <v>339</v>
      </c>
      <c r="G71" t="s">
        <v>21</v>
      </c>
      <c r="H71" t="s">
        <v>340</v>
      </c>
      <c r="I71" t="s">
        <v>341</v>
      </c>
      <c r="J71" s="6" t="str">
        <f t="shared" si="6"/>
        <v>ROSL NOT CLAIMED</v>
      </c>
      <c r="K71" s="6" t="str">
        <f>IF(J71="","",IF(J71="ROSL CLAIMED","ROSL CLAIMED","ROSL NOT CLAIMED"))</f>
        <v>ROSL NOT CLAIMED</v>
      </c>
      <c r="L71" s="8" t="str">
        <f t="shared" si="7"/>
        <v>NULL</v>
      </c>
      <c r="M71" s="6">
        <f t="shared" si="8"/>
        <v>0</v>
      </c>
      <c r="N71" s="9">
        <f t="shared" ca="1" si="9"/>
        <v>3018</v>
      </c>
      <c r="O71" s="6" t="str">
        <f t="shared" si="10"/>
        <v>GST Paid</v>
      </c>
      <c r="P71" t="str">
        <f t="shared" si="11"/>
        <v xml:space="preserve">TUGLAKABAD ICD (INTKD6) - Current Que LEO Date EP Copy Print Status DBK Scroll No Scroll Date EGM Integration Status
HIST  25 AUG 2017 00:08  Y  21843/2017  21 SEP 2017 00:09  Y </v>
      </c>
    </row>
    <row r="72" spans="1:16">
      <c r="A72" t="s">
        <v>16</v>
      </c>
      <c r="B72">
        <v>8086454</v>
      </c>
      <c r="C72" t="s">
        <v>342</v>
      </c>
      <c r="D72" t="s">
        <v>343</v>
      </c>
      <c r="E72" t="s">
        <v>344</v>
      </c>
      <c r="F72" t="s">
        <v>345</v>
      </c>
      <c r="G72" t="s">
        <v>39</v>
      </c>
      <c r="H72" t="s">
        <v>346</v>
      </c>
      <c r="I72" t="s">
        <v>347</v>
      </c>
      <c r="J72" s="6" t="str">
        <f t="shared" si="6"/>
        <v>ROSL CLAIMED</v>
      </c>
      <c r="K72" s="6" t="str">
        <f>IF(J72="","",IF(J72="ROSL CLAIMED","ROSL CLAIMED","ROSL NOT CLAIMED"))</f>
        <v>ROSL CLAIMED</v>
      </c>
      <c r="L72" s="8" t="str">
        <f t="shared" si="7"/>
        <v>06191  AADFT278</v>
      </c>
      <c r="M72" s="6">
        <f t="shared" si="8"/>
        <v>1</v>
      </c>
      <c r="N72" s="9">
        <f t="shared" ca="1" si="9"/>
        <v>3017</v>
      </c>
      <c r="O72" s="6" t="str">
        <f t="shared" si="10"/>
        <v>GST Paid</v>
      </c>
      <c r="P72" t="str">
        <f t="shared" si="11"/>
        <v xml:space="preserve">TUGLAKABAD ICD (INTKD6) - Current Que LEO Date EP Copy Print Status DBK Scroll No Scroll Date EGM Integration Status
HIST  23 AUG 2017 00:08  Y  N.A.  N.A.  Y </v>
      </c>
    </row>
    <row r="73" spans="1:16">
      <c r="A73" t="s">
        <v>16</v>
      </c>
      <c r="B73">
        <v>8090388</v>
      </c>
      <c r="C73" t="s">
        <v>342</v>
      </c>
      <c r="D73" t="s">
        <v>348</v>
      </c>
      <c r="E73" t="s">
        <v>269</v>
      </c>
      <c r="F73" t="s">
        <v>349</v>
      </c>
      <c r="G73" t="s">
        <v>21</v>
      </c>
      <c r="H73" t="s">
        <v>350</v>
      </c>
      <c r="I73" t="s">
        <v>283</v>
      </c>
      <c r="J73" s="6" t="str">
        <f t="shared" si="6"/>
        <v>ROSL NOT CLAIMED</v>
      </c>
      <c r="K73" s="6" t="str">
        <f>IF(J73="","",IF(J73="ROSL CLAIMED","ROSL CLAIMED","ROSL NOT CLAIMED"))</f>
        <v>ROSL NOT CLAIMED</v>
      </c>
      <c r="L73" s="8" t="str">
        <f t="shared" si="7"/>
        <v>062884  AYZPP59</v>
      </c>
      <c r="M73" s="6">
        <f t="shared" si="8"/>
        <v>0</v>
      </c>
      <c r="N73" s="9">
        <f t="shared" ca="1" si="9"/>
        <v>3017</v>
      </c>
      <c r="O73" s="6" t="str">
        <f t="shared" si="10"/>
        <v>GST Paid</v>
      </c>
      <c r="P73" t="str">
        <f t="shared" si="11"/>
        <v xml:space="preserve">TUGLAKABAD ICD (INTKD6) - Current Que LEO Date EP Copy Print Status DBK Scroll No Scroll Date EGM Integration Status
HIST  24 AUG 2017 00:08  Y  21652/2017  14 SEP 2017 00:09  Y </v>
      </c>
    </row>
    <row r="74" spans="1:16">
      <c r="A74" t="s">
        <v>16</v>
      </c>
      <c r="B74">
        <v>8091385</v>
      </c>
      <c r="C74" t="s">
        <v>342</v>
      </c>
      <c r="D74" t="s">
        <v>351</v>
      </c>
      <c r="E74" t="s">
        <v>315</v>
      </c>
      <c r="F74" t="s">
        <v>352</v>
      </c>
      <c r="G74" t="s">
        <v>21</v>
      </c>
      <c r="H74" t="s">
        <v>353</v>
      </c>
      <c r="I74" t="s">
        <v>252</v>
      </c>
      <c r="J74" s="6" t="str">
        <f t="shared" si="6"/>
        <v>ROSL NOT CLAIMED</v>
      </c>
      <c r="K74" s="6" t="str">
        <f>IF(J74="","",IF(J74="ROSL CLAIMED","ROSL CLAIMED","ROSL NOT CLAIMED"))</f>
        <v>ROSL NOT CLAIMED</v>
      </c>
      <c r="L74" s="8" t="str">
        <f t="shared" si="7"/>
        <v>0610  18 AUG 20</v>
      </c>
      <c r="M74" s="6">
        <f t="shared" si="8"/>
        <v>0</v>
      </c>
      <c r="N74" s="9">
        <f t="shared" ca="1" si="9"/>
        <v>3017</v>
      </c>
      <c r="O74" s="6" t="str">
        <f t="shared" si="10"/>
        <v>GST Paid</v>
      </c>
      <c r="P74" t="str">
        <f t="shared" si="11"/>
        <v xml:space="preserve">TUGLAKABAD ICD (INTKD6) - Current Que LEO Date EP Copy Print Status DBK Scroll No Scroll Date EGM Integration Status
HIST  23 AUG 2017 00:08  Y  21652/2017  14 SEP 2017 00:09  Y </v>
      </c>
    </row>
    <row r="75" spans="1:16">
      <c r="A75" t="s">
        <v>16</v>
      </c>
      <c r="B75">
        <v>8102896</v>
      </c>
      <c r="C75" t="s">
        <v>354</v>
      </c>
      <c r="D75" t="s">
        <v>355</v>
      </c>
      <c r="E75" t="s">
        <v>269</v>
      </c>
      <c r="F75" t="s">
        <v>356</v>
      </c>
      <c r="G75" t="s">
        <v>21</v>
      </c>
      <c r="H75" t="s">
        <v>357</v>
      </c>
      <c r="I75" t="s">
        <v>220</v>
      </c>
      <c r="J75" s="6" t="str">
        <f t="shared" si="6"/>
        <v>ROSL NOT CLAIMED</v>
      </c>
      <c r="K75" s="6" t="str">
        <f>IF(J75="","",IF(J75="ROSL CLAIMED","ROSL CLAIMED","ROSL NOT CLAIMED"))</f>
        <v>ROSL NOT CLAIMED</v>
      </c>
      <c r="L75" s="8" t="str">
        <f t="shared" si="7"/>
        <v>NULL</v>
      </c>
      <c r="M75" s="6">
        <f t="shared" si="8"/>
        <v>0</v>
      </c>
      <c r="N75" s="9">
        <f t="shared" ca="1" si="9"/>
        <v>3016</v>
      </c>
      <c r="O75" s="6" t="str">
        <f t="shared" si="10"/>
        <v>GST Paid</v>
      </c>
      <c r="P75" t="str">
        <f t="shared" si="11"/>
        <v xml:space="preserve">TUGLAKABAD ICD (INTKD6) - Current Que LEO Date EP Copy Print Status DBK Scroll No Scroll Date EGM Integration Status
HIST  24 AUG 2017 00:08  Y  21652/2017  14 SEP 2017 00:09  Y </v>
      </c>
    </row>
    <row r="76" spans="1:16">
      <c r="A76" t="s">
        <v>16</v>
      </c>
      <c r="B76">
        <v>8122393</v>
      </c>
      <c r="C76" t="s">
        <v>358</v>
      </c>
      <c r="D76" t="s">
        <v>359</v>
      </c>
      <c r="E76" t="s">
        <v>360</v>
      </c>
      <c r="F76" t="s">
        <v>361</v>
      </c>
      <c r="G76" t="s">
        <v>21</v>
      </c>
      <c r="H76" t="s">
        <v>362</v>
      </c>
      <c r="I76" t="s">
        <v>363</v>
      </c>
      <c r="J76" s="6" t="str">
        <f t="shared" si="6"/>
        <v>ROSL NOT CLAIMED</v>
      </c>
      <c r="K76" s="6" t="str">
        <f>IF(J76="","",IF(J76="ROSL CLAIMED","ROSL CLAIMED","ROSL NOT CLAIMED"))</f>
        <v>ROSL NOT CLAIMED</v>
      </c>
      <c r="L76" s="8" t="str">
        <f t="shared" si="7"/>
        <v>NULL</v>
      </c>
      <c r="M76" s="6">
        <f t="shared" si="8"/>
        <v>0</v>
      </c>
      <c r="N76" s="9">
        <f t="shared" ca="1" si="9"/>
        <v>3015</v>
      </c>
      <c r="O76" s="6" t="str">
        <f t="shared" si="10"/>
        <v>GST Paid</v>
      </c>
      <c r="P76" t="str">
        <f t="shared" si="11"/>
        <v xml:space="preserve">TUGLAKABAD ICD (INTKD6) - Current Que LEO Date EP Copy Print Status DBK Scroll No Scroll Date EGM Integration Status
HIST  26 AUG 2017 00:08  Y  21652/2017  14 SEP 2017 00:09  Y </v>
      </c>
    </row>
    <row r="77" spans="1:16">
      <c r="A77" t="s">
        <v>16</v>
      </c>
      <c r="B77">
        <v>8128641</v>
      </c>
      <c r="C77" t="s">
        <v>364</v>
      </c>
      <c r="D77" t="s">
        <v>365</v>
      </c>
      <c r="E77" t="s">
        <v>366</v>
      </c>
      <c r="F77" t="s">
        <v>367</v>
      </c>
      <c r="G77" t="s">
        <v>21</v>
      </c>
      <c r="H77" t="s">
        <v>368</v>
      </c>
      <c r="I77" t="s">
        <v>34</v>
      </c>
      <c r="J77" s="6" t="str">
        <f t="shared" si="6"/>
        <v>ROSL NOT CLAIMED</v>
      </c>
      <c r="K77" s="6" t="str">
        <f>IF(J77="","",IF(J77="ROSL CLAIMED","ROSL CLAIMED","ROSL NOT CLAIMED"))</f>
        <v>ROSL NOT CLAIMED</v>
      </c>
      <c r="L77" s="8" t="str">
        <f t="shared" si="7"/>
        <v>NULL</v>
      </c>
      <c r="M77" s="6">
        <f t="shared" si="8"/>
        <v>0</v>
      </c>
      <c r="N77" s="9">
        <f t="shared" ca="1" si="9"/>
        <v>3014</v>
      </c>
      <c r="O77" s="6" t="str">
        <f t="shared" si="10"/>
        <v>GST Paid</v>
      </c>
      <c r="P77" t="str">
        <f t="shared" si="11"/>
        <v xml:space="preserve">TUGLAKABAD ICD (INTKD6) - Current Que LEO Date EP Copy Print Status DBK Scroll No Scroll Date EGM Integration Status
HIST  24 AUG 2017 00:08  Y  23643/2018  31 JAN 2018 00:01  Y </v>
      </c>
    </row>
    <row r="78" spans="1:16">
      <c r="A78" t="s">
        <v>16</v>
      </c>
      <c r="B78">
        <v>8140525</v>
      </c>
      <c r="C78" t="s">
        <v>364</v>
      </c>
      <c r="D78" t="s">
        <v>369</v>
      </c>
      <c r="E78" t="s">
        <v>269</v>
      </c>
      <c r="F78" t="s">
        <v>370</v>
      </c>
      <c r="G78" t="s">
        <v>21</v>
      </c>
      <c r="H78" t="s">
        <v>371</v>
      </c>
      <c r="I78" t="s">
        <v>372</v>
      </c>
      <c r="J78" s="6" t="str">
        <f t="shared" si="6"/>
        <v>ROSL NOT CLAIMED</v>
      </c>
      <c r="K78" s="6" t="str">
        <f>IF(J78="","",IF(J78="ROSL CLAIMED","ROSL CLAIMED","ROSL NOT CLAIMED"))</f>
        <v>ROSL NOT CLAIMED</v>
      </c>
      <c r="L78" s="8" t="str">
        <f t="shared" si="7"/>
        <v>064754  FHMPS10</v>
      </c>
      <c r="M78" s="6">
        <f t="shared" si="8"/>
        <v>0</v>
      </c>
      <c r="N78" s="9">
        <f t="shared" ca="1" si="9"/>
        <v>3014</v>
      </c>
      <c r="O78" s="6" t="str">
        <f t="shared" si="10"/>
        <v>GST Paid</v>
      </c>
      <c r="P78" t="str">
        <f t="shared" si="11"/>
        <v xml:space="preserve">TUGLAKABAD ICD (INTKD6) - Current Que LEO Date EP Copy Print Status DBK Scroll No Scroll Date EGM Integration Status
HIST  24 AUG 2017 00:08  Y  21652/2017  14 SEP 2017 00:09  Y </v>
      </c>
    </row>
    <row r="79" spans="1:16">
      <c r="A79" t="s">
        <v>16</v>
      </c>
      <c r="B79">
        <v>8140947</v>
      </c>
      <c r="C79" t="s">
        <v>364</v>
      </c>
      <c r="D79" t="s">
        <v>373</v>
      </c>
      <c r="E79" t="s">
        <v>269</v>
      </c>
      <c r="F79" t="s">
        <v>374</v>
      </c>
      <c r="G79" t="s">
        <v>21</v>
      </c>
      <c r="H79" t="s">
        <v>375</v>
      </c>
      <c r="I79" t="s">
        <v>34</v>
      </c>
      <c r="J79" s="6" t="str">
        <f t="shared" si="6"/>
        <v>ROSL NOT CLAIMED</v>
      </c>
      <c r="K79" s="6" t="str">
        <f>IF(J79="","",IF(J79="ROSL CLAIMED","ROSL CLAIMED","ROSL NOT CLAIMED"))</f>
        <v>ROSL NOT CLAIMED</v>
      </c>
      <c r="L79" s="8" t="str">
        <f t="shared" si="7"/>
        <v>NULL</v>
      </c>
      <c r="M79" s="6">
        <f t="shared" si="8"/>
        <v>0</v>
      </c>
      <c r="N79" s="9">
        <f t="shared" ca="1" si="9"/>
        <v>3014</v>
      </c>
      <c r="O79" s="6" t="str">
        <f t="shared" si="10"/>
        <v>GST Paid</v>
      </c>
      <c r="P79" t="str">
        <f t="shared" si="11"/>
        <v xml:space="preserve">TUGLAKABAD ICD (INTKD6) - Current Que LEO Date EP Copy Print Status DBK Scroll No Scroll Date EGM Integration Status
HIST  24 AUG 2017 00:08  Y  21652/2017  14 SEP 2017 00:09  Y </v>
      </c>
    </row>
    <row r="80" spans="1:16">
      <c r="A80" t="s">
        <v>16</v>
      </c>
      <c r="B80">
        <v>8144422</v>
      </c>
      <c r="C80" t="s">
        <v>364</v>
      </c>
      <c r="D80" t="s">
        <v>376</v>
      </c>
      <c r="E80" t="s">
        <v>377</v>
      </c>
      <c r="F80" t="s">
        <v>378</v>
      </c>
      <c r="G80" t="s">
        <v>39</v>
      </c>
      <c r="H80" t="s">
        <v>379</v>
      </c>
      <c r="I80" t="s">
        <v>380</v>
      </c>
      <c r="J80" s="6" t="str">
        <f t="shared" si="6"/>
        <v>ROSL CLAIMED</v>
      </c>
      <c r="K80" s="6" t="str">
        <f>IF(J80="","",IF(J80="ROSL CLAIMED","ROSL CLAIMED","ROSL NOT CLAIMED"))</f>
        <v>ROSL CLAIMED</v>
      </c>
      <c r="L80" s="8" t="str">
        <f t="shared" si="7"/>
        <v>NULL</v>
      </c>
      <c r="M80" s="6">
        <f t="shared" si="8"/>
        <v>1</v>
      </c>
      <c r="N80" s="9">
        <f t="shared" ca="1" si="9"/>
        <v>3014</v>
      </c>
      <c r="O80" s="6" t="str">
        <f t="shared" si="10"/>
        <v>GST Paid</v>
      </c>
      <c r="P80" t="str">
        <f t="shared" si="11"/>
        <v xml:space="preserve">TUGLAKABAD ICD (INTKD6) - Current Que LEO Date EP Copy Print Status DBK Scroll No Scroll Date EGM Integration Status
HIST  24 AUG 2017 00:08  Y  N.A.  N.A.  Y </v>
      </c>
    </row>
    <row r="81" spans="1:16">
      <c r="A81" t="s">
        <v>16</v>
      </c>
      <c r="B81">
        <v>8146066</v>
      </c>
      <c r="C81" t="s">
        <v>364</v>
      </c>
      <c r="D81" t="s">
        <v>381</v>
      </c>
      <c r="E81" t="s">
        <v>382</v>
      </c>
      <c r="F81" t="s">
        <v>383</v>
      </c>
      <c r="G81" t="s">
        <v>21</v>
      </c>
      <c r="H81" t="s">
        <v>384</v>
      </c>
      <c r="I81" t="s">
        <v>385</v>
      </c>
      <c r="J81" s="6" t="str">
        <f t="shared" si="6"/>
        <v>ROSL NOT CLAIMED</v>
      </c>
      <c r="K81" s="6" t="str">
        <f>IF(J81="","",IF(J81="ROSL CLAIMED","ROSL CLAIMED","ROSL NOT CLAIMED"))</f>
        <v>ROSL NOT CLAIMED</v>
      </c>
      <c r="L81" s="8" t="str">
        <f t="shared" si="7"/>
        <v>NULL</v>
      </c>
      <c r="M81" s="6">
        <f t="shared" si="8"/>
        <v>0</v>
      </c>
      <c r="N81" s="9">
        <f t="shared" ca="1" si="9"/>
        <v>3014</v>
      </c>
      <c r="O81" s="6" t="str">
        <f t="shared" si="10"/>
        <v>GST Paid</v>
      </c>
      <c r="P81" t="str">
        <f t="shared" si="11"/>
        <v xml:space="preserve">TUGLAKABAD ICD (INTKD6) - Current Que LEO Date EP Copy Print Status DBK Scroll No Scroll Date EGM Integration Status
HIST  25 AUG 2017 00:08  Y  21652/2017  14 SEP 2017 00:09  Y </v>
      </c>
    </row>
    <row r="82" spans="1:16">
      <c r="A82" t="s">
        <v>16</v>
      </c>
      <c r="B82">
        <v>8146068</v>
      </c>
      <c r="C82" t="s">
        <v>364</v>
      </c>
      <c r="D82" t="s">
        <v>386</v>
      </c>
      <c r="E82" t="s">
        <v>269</v>
      </c>
      <c r="F82" t="s">
        <v>383</v>
      </c>
      <c r="G82" t="s">
        <v>21</v>
      </c>
      <c r="H82" t="s">
        <v>387</v>
      </c>
      <c r="I82" t="s">
        <v>385</v>
      </c>
      <c r="J82" s="6" t="str">
        <f t="shared" si="6"/>
        <v>ROSL NOT CLAIMED</v>
      </c>
      <c r="K82" s="6" t="str">
        <f>IF(J82="","",IF(J82="ROSL CLAIMED","ROSL CLAIMED","ROSL NOT CLAIMED"))</f>
        <v>ROSL NOT CLAIMED</v>
      </c>
      <c r="L82" s="8" t="str">
        <f t="shared" si="7"/>
        <v>NULL</v>
      </c>
      <c r="M82" s="6">
        <f t="shared" si="8"/>
        <v>0</v>
      </c>
      <c r="N82" s="9">
        <f t="shared" ca="1" si="9"/>
        <v>3014</v>
      </c>
      <c r="O82" s="6" t="str">
        <f t="shared" si="10"/>
        <v>GST Paid</v>
      </c>
      <c r="P82" t="str">
        <f t="shared" si="11"/>
        <v xml:space="preserve">TUGLAKABAD ICD (INTKD6) - Current Que LEO Date EP Copy Print Status DBK Scroll No Scroll Date EGM Integration Status
HIST  24 AUG 2017 00:08  Y  21652/2017  14 SEP 2017 00:09  Y </v>
      </c>
    </row>
    <row r="83" spans="1:16">
      <c r="A83" t="s">
        <v>16</v>
      </c>
      <c r="B83">
        <v>8159434</v>
      </c>
      <c r="C83" t="s">
        <v>388</v>
      </c>
      <c r="D83" t="s">
        <v>389</v>
      </c>
      <c r="E83" t="s">
        <v>390</v>
      </c>
      <c r="F83" t="s">
        <v>391</v>
      </c>
      <c r="G83" t="s">
        <v>21</v>
      </c>
      <c r="H83" t="s">
        <v>392</v>
      </c>
      <c r="I83" t="s">
        <v>393</v>
      </c>
      <c r="J83" s="6" t="str">
        <f t="shared" si="6"/>
        <v>ROSL NOT CLAIMED</v>
      </c>
      <c r="K83" s="6" t="str">
        <f>IF(J83="","",IF(J83="ROSL CLAIMED","ROSL CLAIMED","ROSL NOT CLAIMED"))</f>
        <v>ROSL NOT CLAIMED</v>
      </c>
      <c r="L83" s="8" t="str">
        <f t="shared" si="7"/>
        <v>NULL</v>
      </c>
      <c r="M83" s="6">
        <f t="shared" si="8"/>
        <v>0</v>
      </c>
      <c r="N83" s="9">
        <f t="shared" ca="1" si="9"/>
        <v>3013</v>
      </c>
      <c r="O83" s="6" t="str">
        <f t="shared" si="10"/>
        <v>GST Paid</v>
      </c>
      <c r="P83" t="str">
        <f t="shared" si="11"/>
        <v xml:space="preserve">TUGLAKABAD ICD (INTKD6) - Current Que LEO Date EP Copy Print Status DBK Scroll No Scroll Date EGM Integration Status
HIST  01 SEP 2017 00:09  Y  21843/2017  21 SEP 2017 00:09  Y </v>
      </c>
    </row>
    <row r="84" spans="1:16">
      <c r="A84" t="s">
        <v>16</v>
      </c>
      <c r="B84">
        <v>8160683</v>
      </c>
      <c r="C84" t="s">
        <v>388</v>
      </c>
      <c r="D84" t="s">
        <v>394</v>
      </c>
      <c r="E84" t="s">
        <v>390</v>
      </c>
      <c r="F84" t="s">
        <v>391</v>
      </c>
      <c r="G84" t="s">
        <v>21</v>
      </c>
      <c r="H84" t="s">
        <v>395</v>
      </c>
      <c r="I84" t="s">
        <v>393</v>
      </c>
      <c r="J84" s="6" t="str">
        <f t="shared" si="6"/>
        <v>ROSL NOT CLAIMED</v>
      </c>
      <c r="K84" s="6" t="str">
        <f>IF(J84="","",IF(J84="ROSL CLAIMED","ROSL CLAIMED","ROSL NOT CLAIMED"))</f>
        <v>ROSL NOT CLAIMED</v>
      </c>
      <c r="L84" s="8" t="str">
        <f t="shared" si="7"/>
        <v>NULL</v>
      </c>
      <c r="M84" s="6">
        <f t="shared" si="8"/>
        <v>0</v>
      </c>
      <c r="N84" s="9">
        <f t="shared" ca="1" si="9"/>
        <v>3013</v>
      </c>
      <c r="O84" s="6" t="str">
        <f t="shared" si="10"/>
        <v>GST Paid</v>
      </c>
      <c r="P84" t="str">
        <f t="shared" si="11"/>
        <v xml:space="preserve">TUGLAKABAD ICD (INTKD6) - Current Que LEO Date EP Copy Print Status DBK Scroll No Scroll Date EGM Integration Status
HIST  01 SEP 2017 00:09  Y  21843/2017  21 SEP 2017 00:09  Y </v>
      </c>
    </row>
    <row r="85" spans="1:16">
      <c r="A85" t="s">
        <v>16</v>
      </c>
      <c r="B85">
        <v>8169500</v>
      </c>
      <c r="C85" t="s">
        <v>388</v>
      </c>
      <c r="D85" t="s">
        <v>396</v>
      </c>
      <c r="E85" t="s">
        <v>397</v>
      </c>
      <c r="F85" t="s">
        <v>398</v>
      </c>
      <c r="G85" t="s">
        <v>39</v>
      </c>
      <c r="H85" t="s">
        <v>399</v>
      </c>
      <c r="I85" t="s">
        <v>400</v>
      </c>
      <c r="J85" s="6" t="str">
        <f t="shared" si="6"/>
        <v>ROSL CLAIMED</v>
      </c>
      <c r="K85" s="6" t="str">
        <f>IF(J85="","",IF(J85="ROSL CLAIMED","ROSL CLAIMED","ROSL NOT CLAIMED"))</f>
        <v>ROSL CLAIMED</v>
      </c>
      <c r="L85" s="8" t="str">
        <f t="shared" si="7"/>
        <v>NULL</v>
      </c>
      <c r="M85" s="6">
        <f t="shared" si="8"/>
        <v>1</v>
      </c>
      <c r="N85" s="9">
        <f t="shared" ca="1" si="9"/>
        <v>3013</v>
      </c>
      <c r="O85" s="6" t="str">
        <f t="shared" si="10"/>
        <v>GST Paid</v>
      </c>
      <c r="P85" t="str">
        <f t="shared" si="11"/>
        <v xml:space="preserve">TUGLAKABAD ICD (INTKD6) - Current Que LEO Date EP Copy Print Status DBK Scroll No Scroll Date EGM Integration Status
HIST  25 AUG 2017 00:08  Y  N.A.  N.A.  Y </v>
      </c>
    </row>
    <row r="86" spans="1:16">
      <c r="A86" t="s">
        <v>16</v>
      </c>
      <c r="B86">
        <v>8170873</v>
      </c>
      <c r="C86" t="s">
        <v>388</v>
      </c>
      <c r="D86" t="s">
        <v>401</v>
      </c>
      <c r="E86" t="s">
        <v>402</v>
      </c>
      <c r="F86" t="s">
        <v>403</v>
      </c>
      <c r="G86" t="s">
        <v>21</v>
      </c>
      <c r="H86" t="s">
        <v>404</v>
      </c>
      <c r="I86" t="s">
        <v>380</v>
      </c>
      <c r="J86" s="6" t="str">
        <f t="shared" si="6"/>
        <v>ROSL NOT CLAIMED</v>
      </c>
      <c r="K86" s="6" t="str">
        <f>IF(J86="","",IF(J86="ROSL CLAIMED","ROSL CLAIMED","ROSL NOT CLAIMED"))</f>
        <v>ROSL NOT CLAIMED</v>
      </c>
      <c r="L86" s="8" t="str">
        <f t="shared" si="7"/>
        <v>NULL</v>
      </c>
      <c r="M86" s="6">
        <f t="shared" si="8"/>
        <v>0</v>
      </c>
      <c r="N86" s="9">
        <f t="shared" ca="1" si="9"/>
        <v>3013</v>
      </c>
      <c r="O86" s="6" t="str">
        <f t="shared" si="10"/>
        <v>GST Paid</v>
      </c>
      <c r="P86" t="str">
        <f t="shared" si="11"/>
        <v xml:space="preserve">TUGLAKABAD ICD (INTKD6) - Current Que LEO Date EP Copy Print Status DBK Scroll No Scroll Date EGM Integration Status
HIST  04 SEP 2017 00:09  Y  21843/2017  21 SEP 2017 00:09  Y </v>
      </c>
    </row>
    <row r="87" spans="1:16">
      <c r="A87" t="s">
        <v>16</v>
      </c>
      <c r="B87">
        <v>8173971</v>
      </c>
      <c r="C87" t="s">
        <v>388</v>
      </c>
      <c r="D87" t="s">
        <v>405</v>
      </c>
      <c r="E87" t="s">
        <v>325</v>
      </c>
      <c r="F87" t="s">
        <v>406</v>
      </c>
      <c r="G87" t="s">
        <v>21</v>
      </c>
      <c r="H87" t="s">
        <v>407</v>
      </c>
      <c r="I87" t="s">
        <v>408</v>
      </c>
      <c r="J87" s="6" t="str">
        <f t="shared" si="6"/>
        <v>ROSL NOT CLAIMED</v>
      </c>
      <c r="K87" s="6" t="str">
        <f>IF(J87="","",IF(J87="ROSL CLAIMED","ROSL CLAIMED","ROSL NOT CLAIMED"))</f>
        <v>ROSL NOT CLAIMED</v>
      </c>
      <c r="L87" s="8" t="str">
        <f t="shared" si="7"/>
        <v>NULL</v>
      </c>
      <c r="M87" s="6">
        <f t="shared" si="8"/>
        <v>0</v>
      </c>
      <c r="N87" s="9">
        <f t="shared" ca="1" si="9"/>
        <v>3013</v>
      </c>
      <c r="O87" s="6" t="str">
        <f t="shared" si="10"/>
        <v>GST Paid</v>
      </c>
      <c r="P87" t="str">
        <f t="shared" si="11"/>
        <v xml:space="preserve">TUGLAKABAD ICD (INTKD6) - Current Que LEO Date EP Copy Print Status DBK Scroll No Scroll Date EGM Integration Status
HIST  24 AUG 2017 00:08  Y  21843/2017  21 SEP 2017 00:09  Y </v>
      </c>
    </row>
    <row r="88" spans="1:16">
      <c r="A88" t="s">
        <v>16</v>
      </c>
      <c r="B88">
        <v>8180485</v>
      </c>
      <c r="C88" t="s">
        <v>409</v>
      </c>
      <c r="D88" t="s">
        <v>410</v>
      </c>
      <c r="E88" t="s">
        <v>377</v>
      </c>
      <c r="F88" t="s">
        <v>411</v>
      </c>
      <c r="G88" t="s">
        <v>39</v>
      </c>
      <c r="H88" t="s">
        <v>412</v>
      </c>
      <c r="I88" t="s">
        <v>34</v>
      </c>
      <c r="J88" s="6" t="str">
        <f t="shared" si="6"/>
        <v>ROSL CLAIMED</v>
      </c>
      <c r="K88" s="6" t="str">
        <f>IF(J88="","",IF(J88="ROSL CLAIMED","ROSL CLAIMED","ROSL NOT CLAIMED"))</f>
        <v>ROSL CLAIMED</v>
      </c>
      <c r="L88" s="8" t="str">
        <f t="shared" si="7"/>
        <v>NULL</v>
      </c>
      <c r="M88" s="6">
        <f t="shared" si="8"/>
        <v>1</v>
      </c>
      <c r="N88" s="9">
        <f t="shared" ca="1" si="9"/>
        <v>3012</v>
      </c>
      <c r="O88" s="6" t="str">
        <f t="shared" si="10"/>
        <v>GST Paid</v>
      </c>
      <c r="P88" t="str">
        <f t="shared" si="11"/>
        <v xml:space="preserve">TUGLAKABAD ICD (INTKD6) - Current Que LEO Date EP Copy Print Status DBK Scroll No Scroll Date EGM Integration Status
HIST  24 AUG 2017 00:08  Y  N.A.  N.A.  Y </v>
      </c>
    </row>
    <row r="89" spans="1:16">
      <c r="A89" t="s">
        <v>16</v>
      </c>
      <c r="B89">
        <v>8190870</v>
      </c>
      <c r="C89" t="s">
        <v>409</v>
      </c>
      <c r="D89" t="s">
        <v>413</v>
      </c>
      <c r="E89" t="s">
        <v>414</v>
      </c>
      <c r="F89" t="s">
        <v>415</v>
      </c>
      <c r="G89" t="s">
        <v>21</v>
      </c>
      <c r="H89" t="s">
        <v>416</v>
      </c>
      <c r="I89" t="s">
        <v>34</v>
      </c>
      <c r="J89" s="6" t="str">
        <f t="shared" si="6"/>
        <v>ROSL NOT CLAIMED</v>
      </c>
      <c r="K89" s="6" t="str">
        <f>IF(J89="","",IF(J89="ROSL CLAIMED","ROSL CLAIMED","ROSL NOT CLAIMED"))</f>
        <v>ROSL NOT CLAIMED</v>
      </c>
      <c r="L89" s="8" t="str">
        <f t="shared" si="7"/>
        <v>NULL</v>
      </c>
      <c r="M89" s="6">
        <f t="shared" si="8"/>
        <v>0</v>
      </c>
      <c r="N89" s="9">
        <f t="shared" ca="1" si="9"/>
        <v>3012</v>
      </c>
      <c r="O89" s="6" t="str">
        <f t="shared" si="10"/>
        <v>GST Paid</v>
      </c>
      <c r="P89" t="str">
        <f t="shared" si="11"/>
        <v xml:space="preserve">TUGLAKABAD ICD (INTKD6) - Current Que LEO Date EP Copy Print Status DBK Scroll No Scroll Date EGM Integration Status
HIST  26 AUG 2017 00:08  Y  21843/2017  21 SEP 2017 00:09  Y </v>
      </c>
    </row>
    <row r="90" spans="1:16">
      <c r="A90" t="s">
        <v>16</v>
      </c>
      <c r="B90">
        <v>8201692</v>
      </c>
      <c r="C90" t="s">
        <v>417</v>
      </c>
      <c r="D90" t="s">
        <v>418</v>
      </c>
      <c r="E90" t="s">
        <v>382</v>
      </c>
      <c r="F90" t="s">
        <v>419</v>
      </c>
      <c r="G90" t="s">
        <v>21</v>
      </c>
      <c r="H90" t="s">
        <v>420</v>
      </c>
      <c r="I90" t="s">
        <v>421</v>
      </c>
      <c r="J90" s="6" t="str">
        <f t="shared" si="6"/>
        <v>ROSL NOT CLAIMED</v>
      </c>
      <c r="K90" s="6" t="str">
        <f>IF(J90="","",IF(J90="ROSL CLAIMED","ROSL CLAIMED","ROSL NOT CLAIMED"))</f>
        <v>ROSL NOT CLAIMED</v>
      </c>
      <c r="L90" s="8" t="str">
        <f t="shared" si="7"/>
        <v>06.6  2535422.6</v>
      </c>
      <c r="M90" s="6">
        <f t="shared" si="8"/>
        <v>0</v>
      </c>
      <c r="N90" s="9">
        <f t="shared" ca="1" si="9"/>
        <v>3011</v>
      </c>
      <c r="O90" s="6" t="str">
        <f t="shared" si="10"/>
        <v>GST Paid</v>
      </c>
      <c r="P90" t="str">
        <f t="shared" si="11"/>
        <v xml:space="preserve">TUGLAKABAD ICD (INTKD6) - Current Que LEO Date EP Copy Print Status DBK Scroll No Scroll Date EGM Integration Status
HIST  25 AUG 2017 00:08  Y  21652/2017  14 SEP 2017 00:09  Y </v>
      </c>
    </row>
    <row r="91" spans="1:16">
      <c r="A91" t="s">
        <v>16</v>
      </c>
      <c r="B91">
        <v>8204016</v>
      </c>
      <c r="C91" t="s">
        <v>417</v>
      </c>
      <c r="D91" t="s">
        <v>422</v>
      </c>
      <c r="E91" t="s">
        <v>414</v>
      </c>
      <c r="F91" t="s">
        <v>423</v>
      </c>
      <c r="G91" t="s">
        <v>21</v>
      </c>
      <c r="H91" t="s">
        <v>424</v>
      </c>
      <c r="I91" t="s">
        <v>34</v>
      </c>
      <c r="J91" s="6" t="str">
        <f t="shared" si="6"/>
        <v>ROSL NOT CLAIMED</v>
      </c>
      <c r="K91" s="6" t="str">
        <f>IF(J91="","",IF(J91="ROSL CLAIMED","ROSL CLAIMED","ROSL NOT CLAIMED"))</f>
        <v>ROSL NOT CLAIMED</v>
      </c>
      <c r="L91" s="8" t="str">
        <f t="shared" si="7"/>
        <v>NULL</v>
      </c>
      <c r="M91" s="6">
        <f t="shared" si="8"/>
        <v>0</v>
      </c>
      <c r="N91" s="9">
        <f t="shared" ca="1" si="9"/>
        <v>3011</v>
      </c>
      <c r="O91" s="6" t="str">
        <f t="shared" si="10"/>
        <v>GST Paid</v>
      </c>
      <c r="P91" t="str">
        <f t="shared" si="11"/>
        <v xml:space="preserve">TUGLAKABAD ICD (INTKD6) - Current Que LEO Date EP Copy Print Status DBK Scroll No Scroll Date EGM Integration Status
HIST  26 AUG 2017 00:08  Y  21843/2017  21 SEP 2017 00:09  Y </v>
      </c>
    </row>
    <row r="92" spans="1:16">
      <c r="A92" t="s">
        <v>16</v>
      </c>
      <c r="B92">
        <v>8216051</v>
      </c>
      <c r="C92" t="s">
        <v>417</v>
      </c>
      <c r="D92" t="s">
        <v>425</v>
      </c>
      <c r="E92" t="s">
        <v>426</v>
      </c>
      <c r="F92" t="s">
        <v>427</v>
      </c>
      <c r="G92" t="s">
        <v>21</v>
      </c>
      <c r="H92" t="s">
        <v>428</v>
      </c>
      <c r="I92" t="s">
        <v>429</v>
      </c>
      <c r="J92" s="6" t="str">
        <f t="shared" si="6"/>
        <v>ROSL NOT CLAIMED</v>
      </c>
      <c r="K92" s="6" t="str">
        <f>IF(J92="","",IF(J92="ROSL CLAIMED","ROSL CLAIMED","ROSL NOT CLAIMED"))</f>
        <v>ROSL NOT CLAIMED</v>
      </c>
      <c r="L92" s="8" t="str">
        <f t="shared" si="7"/>
        <v>06  24 AUG 2017</v>
      </c>
      <c r="M92" s="6">
        <f t="shared" si="8"/>
        <v>0</v>
      </c>
      <c r="N92" s="9">
        <f t="shared" ca="1" si="9"/>
        <v>3011</v>
      </c>
      <c r="O92" s="6" t="str">
        <f t="shared" si="10"/>
        <v>GST Paid</v>
      </c>
      <c r="P92" t="str">
        <f t="shared" si="11"/>
        <v xml:space="preserve">TUGLAKABAD ICD (INTKD6) - Current Que LEO Date EP Copy Print Status DBK Scroll No Scroll Date EGM Integration Status
HIST  29 AUG 2017 00:08  Y  N.A.  N.A.  Y </v>
      </c>
    </row>
    <row r="93" spans="1:16">
      <c r="A93" t="s">
        <v>16</v>
      </c>
      <c r="B93">
        <v>8216744</v>
      </c>
      <c r="C93" t="s">
        <v>417</v>
      </c>
      <c r="D93" t="s">
        <v>430</v>
      </c>
      <c r="E93" t="s">
        <v>402</v>
      </c>
      <c r="F93" t="s">
        <v>431</v>
      </c>
      <c r="G93" t="s">
        <v>21</v>
      </c>
      <c r="H93" t="s">
        <v>432</v>
      </c>
      <c r="I93" t="s">
        <v>433</v>
      </c>
      <c r="J93" s="6" t="str">
        <f t="shared" si="6"/>
        <v>ROSL NOT CLAIMED</v>
      </c>
      <c r="K93" s="6" t="str">
        <f>IF(J93="","",IF(J93="ROSL CLAIMED","ROSL CLAIMED","ROSL NOT CLAIMED"))</f>
        <v>ROSL NOT CLAIMED</v>
      </c>
      <c r="L93" s="8" t="str">
        <f t="shared" si="7"/>
        <v>NULL</v>
      </c>
      <c r="M93" s="6">
        <f t="shared" si="8"/>
        <v>0</v>
      </c>
      <c r="N93" s="9">
        <f t="shared" ca="1" si="9"/>
        <v>3011</v>
      </c>
      <c r="O93" s="6" t="str">
        <f t="shared" si="10"/>
        <v>GST Paid</v>
      </c>
      <c r="P93" t="str">
        <f t="shared" si="11"/>
        <v xml:space="preserve">TUGLAKABAD ICD (INTKD6) - Current Que LEO Date EP Copy Print Status DBK Scroll No Scroll Date EGM Integration Status
HIST  04 SEP 2017 00:09  Y  21843/2017  21 SEP 2017 00:09  Y </v>
      </c>
    </row>
    <row r="94" spans="1:16">
      <c r="A94" t="s">
        <v>16</v>
      </c>
      <c r="B94">
        <v>8220992</v>
      </c>
      <c r="C94" t="s">
        <v>417</v>
      </c>
      <c r="D94" t="s">
        <v>434</v>
      </c>
      <c r="E94" t="s">
        <v>435</v>
      </c>
      <c r="F94" t="s">
        <v>436</v>
      </c>
      <c r="G94" t="s">
        <v>21</v>
      </c>
      <c r="H94" t="s">
        <v>437</v>
      </c>
      <c r="I94" t="s">
        <v>438</v>
      </c>
      <c r="J94" s="6" t="str">
        <f t="shared" si="6"/>
        <v>ROSL NOT CLAIMED</v>
      </c>
      <c r="K94" s="6" t="str">
        <f>IF(J94="","",IF(J94="ROSL CLAIMED","ROSL CLAIMED","ROSL NOT CLAIMED"))</f>
        <v>ROSL NOT CLAIMED</v>
      </c>
      <c r="L94" s="8" t="str">
        <f t="shared" si="7"/>
        <v>0629  24 AUG 20</v>
      </c>
      <c r="M94" s="6">
        <f t="shared" si="8"/>
        <v>0</v>
      </c>
      <c r="N94" s="9">
        <f t="shared" ca="1" si="9"/>
        <v>3011</v>
      </c>
      <c r="O94" s="6" t="str">
        <f t="shared" si="10"/>
        <v>GST Paid</v>
      </c>
      <c r="P94" t="str">
        <f t="shared" si="11"/>
        <v xml:space="preserve">TUGLAKABAD ICD (INTKD6) - Current Que LEO Date EP Copy Print Status DBK Scroll No Scroll Date EGM Integration Status
HIST  28 AUG 2017 00:08  Y  21652/2017  14 SEP 2017 00:09  Y </v>
      </c>
    </row>
    <row r="95" spans="1:16">
      <c r="A95" t="s">
        <v>16</v>
      </c>
      <c r="B95">
        <v>8222240</v>
      </c>
      <c r="C95" t="s">
        <v>417</v>
      </c>
      <c r="D95" t="s">
        <v>439</v>
      </c>
      <c r="E95" t="s">
        <v>440</v>
      </c>
      <c r="F95" t="s">
        <v>441</v>
      </c>
      <c r="G95" t="s">
        <v>39</v>
      </c>
      <c r="H95" t="s">
        <v>442</v>
      </c>
      <c r="I95" t="s">
        <v>443</v>
      </c>
      <c r="J95" s="6" t="str">
        <f t="shared" si="6"/>
        <v>ROSL CLAIMED</v>
      </c>
      <c r="K95" s="6" t="str">
        <f>IF(J95="","",IF(J95="ROSL CLAIMED","ROSL CLAIMED","ROSL NOT CLAIMED"))</f>
        <v>ROSL CLAIMED</v>
      </c>
      <c r="L95" s="8" t="str">
        <f t="shared" si="7"/>
        <v>NULL</v>
      </c>
      <c r="M95" s="6">
        <f t="shared" si="8"/>
        <v>1</v>
      </c>
      <c r="N95" s="9">
        <f t="shared" ca="1" si="9"/>
        <v>3011</v>
      </c>
      <c r="O95" s="6" t="str">
        <f t="shared" si="10"/>
        <v>GST Paid</v>
      </c>
      <c r="P95" t="str">
        <f t="shared" si="11"/>
        <v xml:space="preserve">TUGLAKABAD ICD (INTKD6) - Current Que LEO Date EP Copy Print Status DBK Scroll No Scroll Date EGM Integration Status
HIST  26 AUG 2017 00:08  Y  N.A.  N.A.  Y </v>
      </c>
    </row>
    <row r="96" spans="1:16">
      <c r="A96" t="s">
        <v>16</v>
      </c>
      <c r="B96">
        <v>8228343</v>
      </c>
      <c r="C96" t="s">
        <v>417</v>
      </c>
      <c r="D96" t="s">
        <v>444</v>
      </c>
      <c r="E96" t="s">
        <v>445</v>
      </c>
      <c r="F96" t="s">
        <v>446</v>
      </c>
      <c r="G96" t="s">
        <v>447</v>
      </c>
      <c r="H96" t="s">
        <v>448</v>
      </c>
      <c r="I96" t="s">
        <v>449</v>
      </c>
      <c r="J96" s="6" t="str">
        <f t="shared" si="6"/>
        <v>NULL</v>
      </c>
      <c r="K96" s="6" t="str">
        <f>IF(J96="","",IF(J96="ROSL CLAIMED","ROSL CLAIMED","ROSL NOT CLAIMED"))</f>
        <v>ROSL NOT CLAIMED</v>
      </c>
      <c r="L96" s="8" t="str">
        <f t="shared" si="7"/>
        <v>NULL</v>
      </c>
      <c r="M96" s="6">
        <f t="shared" si="8"/>
        <v>0</v>
      </c>
      <c r="N96" s="9">
        <f t="shared" ca="1" si="9"/>
        <v>3011</v>
      </c>
      <c r="O96" s="6" t="str">
        <f t="shared" si="10"/>
        <v>GST Paid</v>
      </c>
      <c r="P96" t="str">
        <f t="shared" si="11"/>
        <v xml:space="preserve">TUGLAKABAD ICD (INTKD6) - Current Que LEO Date EP Copy Print Status DBK Scroll No Scroll Date EGM Integration Status
HIST  26 AUG 2017 00:08  Y  24432/2018  25 MAR 2018 00:03  Y </v>
      </c>
    </row>
    <row r="97" spans="1:16">
      <c r="A97" t="s">
        <v>16</v>
      </c>
      <c r="B97">
        <v>8234289</v>
      </c>
      <c r="C97" t="s">
        <v>450</v>
      </c>
      <c r="D97" t="s">
        <v>451</v>
      </c>
      <c r="E97" t="s">
        <v>452</v>
      </c>
      <c r="F97" t="s">
        <v>453</v>
      </c>
      <c r="G97" t="s">
        <v>21</v>
      </c>
      <c r="H97" t="s">
        <v>454</v>
      </c>
      <c r="I97" t="s">
        <v>408</v>
      </c>
      <c r="J97" s="6" t="str">
        <f t="shared" si="6"/>
        <v>ROSL NOT CLAIMED</v>
      </c>
      <c r="K97" s="6" t="str">
        <f>IF(J97="","",IF(J97="ROSL CLAIMED","ROSL CLAIMED","ROSL NOT CLAIMED"))</f>
        <v>ROSL NOT CLAIMED</v>
      </c>
      <c r="L97" s="8" t="str">
        <f t="shared" si="7"/>
        <v>061  AAECB3928M</v>
      </c>
      <c r="M97" s="6">
        <f t="shared" si="8"/>
        <v>0</v>
      </c>
      <c r="N97" s="9">
        <f t="shared" ca="1" si="9"/>
        <v>3010</v>
      </c>
      <c r="O97" s="6" t="str">
        <f t="shared" si="10"/>
        <v>GST Paid</v>
      </c>
      <c r="P97" t="str">
        <f t="shared" si="11"/>
        <v xml:space="preserve">TUGLAKABAD ICD (INTKD6) - Current Que LEO Date EP Copy Print Status DBK Scroll No Scroll Date EGM Integration Status
HIST  29 AUG 2017 00:08  Y  21843/2017  21 SEP 2017 00:09  Y </v>
      </c>
    </row>
    <row r="98" spans="1:16">
      <c r="A98" t="s">
        <v>16</v>
      </c>
      <c r="B98">
        <v>8235656</v>
      </c>
      <c r="C98" t="s">
        <v>450</v>
      </c>
      <c r="D98" t="s">
        <v>455</v>
      </c>
      <c r="E98" t="s">
        <v>390</v>
      </c>
      <c r="F98" t="s">
        <v>456</v>
      </c>
      <c r="G98" t="s">
        <v>457</v>
      </c>
      <c r="H98" t="s">
        <v>458</v>
      </c>
      <c r="I98" t="s">
        <v>459</v>
      </c>
      <c r="J98" s="6" t="str">
        <f t="shared" si="6"/>
        <v>NULL</v>
      </c>
      <c r="K98" s="6" t="str">
        <f>IF(J98="","",IF(J98="ROSL CLAIMED","ROSL CLAIMED","ROSL NOT CLAIMED"))</f>
        <v>ROSL NOT CLAIMED</v>
      </c>
      <c r="L98" s="8" t="str">
        <f t="shared" si="7"/>
        <v>064663  ADMPC70</v>
      </c>
      <c r="M98" s="6">
        <f t="shared" si="8"/>
        <v>0</v>
      </c>
      <c r="N98" s="9">
        <f t="shared" ca="1" si="9"/>
        <v>3010</v>
      </c>
      <c r="O98" s="6" t="str">
        <f t="shared" si="10"/>
        <v>GST Paid</v>
      </c>
      <c r="P98" t="str">
        <f t="shared" si="11"/>
        <v xml:space="preserve">TUGLAKABAD ICD (INTKD6) - Current Que LEO Date EP Copy Print Status DBK Scroll No Scroll Date EGM Integration Status
HIST  01 SEP 2017 00:09  Y  21843/2017  21 SEP 2017 00:09  Y </v>
      </c>
    </row>
    <row r="99" spans="1:16">
      <c r="A99" t="s">
        <v>16</v>
      </c>
      <c r="B99">
        <v>8239122</v>
      </c>
      <c r="C99" t="s">
        <v>450</v>
      </c>
      <c r="D99" t="s">
        <v>460</v>
      </c>
      <c r="E99" t="s">
        <v>360</v>
      </c>
      <c r="F99" t="s">
        <v>461</v>
      </c>
      <c r="G99" t="s">
        <v>462</v>
      </c>
      <c r="H99" t="s">
        <v>463</v>
      </c>
      <c r="I99" t="s">
        <v>464</v>
      </c>
      <c r="J99" s="6" t="str">
        <f t="shared" si="6"/>
        <v>NULL</v>
      </c>
      <c r="K99" s="6" t="str">
        <f>IF(J99="","",IF(J99="ROSL CLAIMED","ROSL CLAIMED","ROSL NOT CLAIMED"))</f>
        <v>ROSL NOT CLAIMED</v>
      </c>
      <c r="L99" s="8" t="str">
        <f t="shared" si="7"/>
        <v xml:space="preserve">06  6859452.6  </v>
      </c>
      <c r="M99" s="6">
        <f t="shared" si="8"/>
        <v>0</v>
      </c>
      <c r="N99" s="9">
        <f t="shared" ca="1" si="9"/>
        <v>3010</v>
      </c>
      <c r="O99" s="6" t="str">
        <f t="shared" si="10"/>
        <v>GST Paid</v>
      </c>
      <c r="P99" t="str">
        <f t="shared" si="11"/>
        <v xml:space="preserve">TUGLAKABAD ICD (INTKD6) - Current Que LEO Date EP Copy Print Status DBK Scroll No Scroll Date EGM Integration Status
HIST  26 AUG 2017 00:08  Y  21652/2017  14 SEP 2017 00:09  Y </v>
      </c>
    </row>
    <row r="100" spans="1:16">
      <c r="A100" t="s">
        <v>16</v>
      </c>
      <c r="B100">
        <v>8239128</v>
      </c>
      <c r="C100" t="s">
        <v>450</v>
      </c>
      <c r="D100" t="s">
        <v>465</v>
      </c>
      <c r="E100" t="s">
        <v>360</v>
      </c>
      <c r="F100" t="s">
        <v>461</v>
      </c>
      <c r="G100" t="s">
        <v>462</v>
      </c>
      <c r="H100" t="s">
        <v>463</v>
      </c>
      <c r="I100" t="s">
        <v>464</v>
      </c>
      <c r="J100" s="6" t="str">
        <f t="shared" si="6"/>
        <v>NULL</v>
      </c>
      <c r="K100" s="6" t="str">
        <f>IF(J100="","",IF(J100="ROSL CLAIMED","ROSL CLAIMED","ROSL NOT CLAIMED"))</f>
        <v>ROSL NOT CLAIMED</v>
      </c>
      <c r="L100" s="8" t="str">
        <f t="shared" si="7"/>
        <v xml:space="preserve">06  6859452.6  </v>
      </c>
      <c r="M100" s="6">
        <f t="shared" si="8"/>
        <v>0</v>
      </c>
      <c r="N100" s="9">
        <f t="shared" ca="1" si="9"/>
        <v>3010</v>
      </c>
      <c r="O100" s="6" t="str">
        <f t="shared" si="10"/>
        <v>GST Paid</v>
      </c>
      <c r="P100" t="str">
        <f t="shared" si="11"/>
        <v xml:space="preserve">TUGLAKABAD ICD (INTKD6) - Current Que LEO Date EP Copy Print Status DBK Scroll No Scroll Date EGM Integration Status
HIST  26 AUG 2017 00:08  Y  21652/2017  14 SEP 2017 00:09  Y </v>
      </c>
    </row>
    <row r="101" spans="1:16">
      <c r="A101" t="s">
        <v>16</v>
      </c>
      <c r="B101">
        <v>8239129</v>
      </c>
      <c r="C101" t="s">
        <v>450</v>
      </c>
      <c r="D101" t="s">
        <v>466</v>
      </c>
      <c r="E101" t="s">
        <v>360</v>
      </c>
      <c r="F101" t="s">
        <v>461</v>
      </c>
      <c r="G101" t="s">
        <v>462</v>
      </c>
      <c r="H101" t="s">
        <v>463</v>
      </c>
      <c r="I101" t="s">
        <v>464</v>
      </c>
      <c r="J101" s="6" t="str">
        <f t="shared" si="6"/>
        <v>NULL</v>
      </c>
      <c r="K101" s="6" t="str">
        <f>IF(J101="","",IF(J101="ROSL CLAIMED","ROSL CLAIMED","ROSL NOT CLAIMED"))</f>
        <v>ROSL NOT CLAIMED</v>
      </c>
      <c r="L101" s="8" t="str">
        <f t="shared" si="7"/>
        <v xml:space="preserve">06  6859452.6  </v>
      </c>
      <c r="M101" s="6">
        <f t="shared" si="8"/>
        <v>0</v>
      </c>
      <c r="N101" s="9">
        <f t="shared" ca="1" si="9"/>
        <v>3010</v>
      </c>
      <c r="O101" s="6" t="str">
        <f t="shared" si="10"/>
        <v>GST Paid</v>
      </c>
      <c r="P101" t="str">
        <f t="shared" si="11"/>
        <v xml:space="preserve">TUGLAKABAD ICD (INTKD6) - Current Que LEO Date EP Copy Print Status DBK Scroll No Scroll Date EGM Integration Status
HIST  26 AUG 2017 00:08  Y  21652/2017  14 SEP 2017 00:09  Y </v>
      </c>
    </row>
    <row r="102" spans="1:16">
      <c r="A102" t="s">
        <v>16</v>
      </c>
      <c r="B102">
        <v>8241970</v>
      </c>
      <c r="C102" t="s">
        <v>450</v>
      </c>
      <c r="D102" t="s">
        <v>467</v>
      </c>
      <c r="E102" t="s">
        <v>435</v>
      </c>
      <c r="F102" t="s">
        <v>468</v>
      </c>
      <c r="G102" t="s">
        <v>469</v>
      </c>
      <c r="H102" t="s">
        <v>470</v>
      </c>
      <c r="I102" t="s">
        <v>464</v>
      </c>
      <c r="J102" s="6" t="str">
        <f t="shared" si="6"/>
        <v>NULL</v>
      </c>
      <c r="K102" s="6" t="str">
        <f>IF(J102="","",IF(J102="ROSL CLAIMED","ROSL CLAIMED","ROSL NOT CLAIMED"))</f>
        <v>ROSL NOT CLAIMED</v>
      </c>
      <c r="L102" s="8" t="str">
        <f t="shared" si="7"/>
        <v>NULL</v>
      </c>
      <c r="M102" s="6">
        <f t="shared" si="8"/>
        <v>0</v>
      </c>
      <c r="N102" s="9">
        <f t="shared" ca="1" si="9"/>
        <v>3010</v>
      </c>
      <c r="O102" s="6" t="str">
        <f t="shared" si="10"/>
        <v>GST Paid</v>
      </c>
      <c r="P102" t="str">
        <f t="shared" si="11"/>
        <v xml:space="preserve">TUGLAKABAD ICD (INTKD6) - Current Que LEO Date EP Copy Print Status DBK Scroll No Scroll Date EGM Integration Status
HIST  28 AUG 2017 00:08  Y  21652/2017  14 SEP 2017 00:09  Y </v>
      </c>
    </row>
    <row r="103" spans="1:16">
      <c r="A103" t="s">
        <v>16</v>
      </c>
      <c r="B103">
        <v>8241971</v>
      </c>
      <c r="C103" t="s">
        <v>450</v>
      </c>
      <c r="D103" t="s">
        <v>471</v>
      </c>
      <c r="E103" t="s">
        <v>435</v>
      </c>
      <c r="F103" t="s">
        <v>468</v>
      </c>
      <c r="G103" t="s">
        <v>469</v>
      </c>
      <c r="H103" t="s">
        <v>470</v>
      </c>
      <c r="I103" t="s">
        <v>464</v>
      </c>
      <c r="J103" s="6" t="str">
        <f t="shared" si="6"/>
        <v>NULL</v>
      </c>
      <c r="K103" s="6" t="str">
        <f>IF(J103="","",IF(J103="ROSL CLAIMED","ROSL CLAIMED","ROSL NOT CLAIMED"))</f>
        <v>ROSL NOT CLAIMED</v>
      </c>
      <c r="L103" s="8" t="str">
        <f t="shared" si="7"/>
        <v>NULL</v>
      </c>
      <c r="M103" s="6">
        <f t="shared" si="8"/>
        <v>0</v>
      </c>
      <c r="N103" s="9">
        <f t="shared" ca="1" si="9"/>
        <v>3010</v>
      </c>
      <c r="O103" s="6" t="str">
        <f t="shared" si="10"/>
        <v>GST Paid</v>
      </c>
      <c r="P103" t="str">
        <f t="shared" si="11"/>
        <v xml:space="preserve">TUGLAKABAD ICD (INTKD6) - Current Que LEO Date EP Copy Print Status DBK Scroll No Scroll Date EGM Integration Status
HIST  28 AUG 2017 00:08  Y  21652/2017  14 SEP 2017 00:09  Y </v>
      </c>
    </row>
    <row r="104" spans="1:16">
      <c r="A104" t="s">
        <v>16</v>
      </c>
      <c r="B104">
        <v>8241978</v>
      </c>
      <c r="C104" t="s">
        <v>450</v>
      </c>
      <c r="D104" t="s">
        <v>472</v>
      </c>
      <c r="E104" t="s">
        <v>435</v>
      </c>
      <c r="F104" t="s">
        <v>468</v>
      </c>
      <c r="G104" t="s">
        <v>473</v>
      </c>
      <c r="H104" t="s">
        <v>474</v>
      </c>
      <c r="I104" t="s">
        <v>464</v>
      </c>
      <c r="J104" s="6" t="str">
        <f t="shared" si="6"/>
        <v>NULL</v>
      </c>
      <c r="K104" s="6" t="str">
        <f>IF(J104="","",IF(J104="ROSL CLAIMED","ROSL CLAIMED","ROSL NOT CLAIMED"))</f>
        <v>ROSL NOT CLAIMED</v>
      </c>
      <c r="L104" s="8" t="str">
        <f t="shared" si="7"/>
        <v>NULL</v>
      </c>
      <c r="M104" s="6">
        <f t="shared" si="8"/>
        <v>0</v>
      </c>
      <c r="N104" s="9">
        <f t="shared" ca="1" si="9"/>
        <v>3010</v>
      </c>
      <c r="O104" s="6" t="str">
        <f t="shared" si="10"/>
        <v>GST Paid</v>
      </c>
      <c r="P104" t="str">
        <f t="shared" si="11"/>
        <v xml:space="preserve">TUGLAKABAD ICD (INTKD6) - Current Que LEO Date EP Copy Print Status DBK Scroll No Scroll Date EGM Integration Status
HIST  28 AUG 2017 00:08  Y  21652/2017  14 SEP 2017 00:09  Y </v>
      </c>
    </row>
    <row r="105" spans="1:16">
      <c r="A105" t="s">
        <v>16</v>
      </c>
      <c r="B105">
        <v>8247826</v>
      </c>
      <c r="C105" t="s">
        <v>475</v>
      </c>
      <c r="D105" t="s">
        <v>476</v>
      </c>
      <c r="E105" t="s">
        <v>435</v>
      </c>
      <c r="F105" t="s">
        <v>477</v>
      </c>
      <c r="G105" t="s">
        <v>21</v>
      </c>
      <c r="H105" t="s">
        <v>478</v>
      </c>
      <c r="I105" t="s">
        <v>479</v>
      </c>
      <c r="J105" s="6" t="str">
        <f t="shared" si="6"/>
        <v>ROSL NOT CLAIMED</v>
      </c>
      <c r="K105" s="6" t="str">
        <f>IF(J105="","",IF(J105="ROSL CLAIMED","ROSL CLAIMED","ROSL NOT CLAIMED"))</f>
        <v>ROSL NOT CLAIMED</v>
      </c>
      <c r="L105" s="8" t="str">
        <f t="shared" si="7"/>
        <v>NULL</v>
      </c>
      <c r="M105" s="6">
        <f t="shared" si="8"/>
        <v>0</v>
      </c>
      <c r="N105" s="9">
        <f t="shared" ca="1" si="9"/>
        <v>3009</v>
      </c>
      <c r="O105" s="6" t="str">
        <f t="shared" si="10"/>
        <v>GST Paid</v>
      </c>
      <c r="P105" t="str">
        <f t="shared" si="11"/>
        <v xml:space="preserve">TUGLAKABAD ICD (INTKD6) - Current Que LEO Date EP Copy Print Status DBK Scroll No Scroll Date EGM Integration Status
HIST  28 AUG 2017 00:08  Y  21652/2017  14 SEP 2017 00:09  Y </v>
      </c>
    </row>
    <row r="106" spans="1:16">
      <c r="A106" t="s">
        <v>16</v>
      </c>
      <c r="B106">
        <v>8249349</v>
      </c>
      <c r="C106" t="s">
        <v>475</v>
      </c>
      <c r="D106" t="s">
        <v>480</v>
      </c>
      <c r="E106" t="s">
        <v>481</v>
      </c>
      <c r="F106" t="s">
        <v>482</v>
      </c>
      <c r="G106" t="s">
        <v>21</v>
      </c>
      <c r="H106" t="s">
        <v>483</v>
      </c>
      <c r="I106" t="s">
        <v>34</v>
      </c>
      <c r="J106" s="6" t="str">
        <f t="shared" si="6"/>
        <v>ROSL NOT CLAIMED</v>
      </c>
      <c r="K106" s="6" t="str">
        <f>IF(J106="","",IF(J106="ROSL CLAIMED","ROSL CLAIMED","ROSL NOT CLAIMED"))</f>
        <v>ROSL NOT CLAIMED</v>
      </c>
      <c r="L106" s="8" t="str">
        <f t="shared" si="7"/>
        <v>NULL</v>
      </c>
      <c r="M106" s="6">
        <f t="shared" si="8"/>
        <v>0</v>
      </c>
      <c r="N106" s="9">
        <f t="shared" ca="1" si="9"/>
        <v>3009</v>
      </c>
      <c r="O106" s="6" t="str">
        <f t="shared" si="10"/>
        <v>GST Paid</v>
      </c>
      <c r="P106" t="str">
        <f t="shared" si="11"/>
        <v xml:space="preserve">TUGLAKABAD ICD (INTKD6) - Current Que LEO Date EP Copy Print Status DBK Scroll No Scroll Date EGM Integration Status
HIST  30 AUG 2017 00:08  Y  21843/2017  21 SEP 2017 00:09  Y </v>
      </c>
    </row>
    <row r="107" spans="1:16">
      <c r="A107" t="s">
        <v>16</v>
      </c>
      <c r="B107">
        <v>8263241</v>
      </c>
      <c r="C107" t="s">
        <v>475</v>
      </c>
      <c r="D107" t="s">
        <v>484</v>
      </c>
      <c r="E107" t="s">
        <v>481</v>
      </c>
      <c r="F107" t="s">
        <v>485</v>
      </c>
      <c r="G107" t="s">
        <v>21</v>
      </c>
      <c r="H107" t="s">
        <v>486</v>
      </c>
      <c r="I107" t="s">
        <v>34</v>
      </c>
      <c r="J107" s="6" t="str">
        <f t="shared" si="6"/>
        <v>ROSL NOT CLAIMED</v>
      </c>
      <c r="K107" s="6" t="str">
        <f>IF(J107="","",IF(J107="ROSL CLAIMED","ROSL CLAIMED","ROSL NOT CLAIMED"))</f>
        <v>ROSL NOT CLAIMED</v>
      </c>
      <c r="L107" s="8" t="str">
        <f t="shared" si="7"/>
        <v>NULL</v>
      </c>
      <c r="M107" s="6">
        <f t="shared" si="8"/>
        <v>0</v>
      </c>
      <c r="N107" s="9">
        <f t="shared" ca="1" si="9"/>
        <v>3009</v>
      </c>
      <c r="O107" s="6" t="str">
        <f t="shared" si="10"/>
        <v>GST Paid</v>
      </c>
      <c r="P107" t="str">
        <f t="shared" si="11"/>
        <v xml:space="preserve">TUGLAKABAD ICD (INTKD6) - Current Que LEO Date EP Copy Print Status DBK Scroll No Scroll Date EGM Integration Status
HIST  30 AUG 2017 00:08  Y  21843/2017  21 SEP 2017 00:09  Y </v>
      </c>
    </row>
    <row r="108" spans="1:16">
      <c r="A108" t="s">
        <v>16</v>
      </c>
      <c r="B108">
        <v>8288523</v>
      </c>
      <c r="C108" t="s">
        <v>487</v>
      </c>
      <c r="D108" t="s">
        <v>488</v>
      </c>
      <c r="E108" t="s">
        <v>481</v>
      </c>
      <c r="F108" t="s">
        <v>489</v>
      </c>
      <c r="G108" t="s">
        <v>490</v>
      </c>
      <c r="H108" t="s">
        <v>491</v>
      </c>
      <c r="I108" t="s">
        <v>464</v>
      </c>
      <c r="J108" s="6" t="str">
        <f t="shared" si="6"/>
        <v>NULL</v>
      </c>
      <c r="K108" s="6" t="str">
        <f>IF(J108="","",IF(J108="ROSL CLAIMED","ROSL CLAIMED","ROSL NOT CLAIMED"))</f>
        <v>ROSL NOT CLAIMED</v>
      </c>
      <c r="L108" s="8" t="str">
        <f t="shared" si="7"/>
        <v>069272  BTLPP62</v>
      </c>
      <c r="M108" s="6">
        <f t="shared" si="8"/>
        <v>0</v>
      </c>
      <c r="N108" s="9">
        <f t="shared" ca="1" si="9"/>
        <v>3007</v>
      </c>
      <c r="O108" s="6" t="str">
        <f t="shared" si="10"/>
        <v>GST Paid</v>
      </c>
      <c r="P108" t="str">
        <f t="shared" si="11"/>
        <v xml:space="preserve">TUGLAKABAD ICD (INTKD6) - Current Que LEO Date EP Copy Print Status DBK Scroll No Scroll Date EGM Integration Status
HIST  30 AUG 2017 00:08  Y  21843/2017  21 SEP 2017 00:09  Y </v>
      </c>
    </row>
    <row r="109" spans="1:16">
      <c r="A109" t="s">
        <v>16</v>
      </c>
      <c r="B109">
        <v>8290768</v>
      </c>
      <c r="C109" t="s">
        <v>487</v>
      </c>
      <c r="D109" t="s">
        <v>492</v>
      </c>
      <c r="E109" t="s">
        <v>481</v>
      </c>
      <c r="F109" t="s">
        <v>493</v>
      </c>
      <c r="G109" t="s">
        <v>494</v>
      </c>
      <c r="H109" t="s">
        <v>495</v>
      </c>
      <c r="I109" t="s">
        <v>464</v>
      </c>
      <c r="J109" s="6" t="str">
        <f t="shared" si="6"/>
        <v>NULL</v>
      </c>
      <c r="K109" s="6" t="str">
        <f>IF(J109="","",IF(J109="ROSL CLAIMED","ROSL CLAIMED","ROSL NOT CLAIMED"))</f>
        <v>ROSL NOT CLAIMED</v>
      </c>
      <c r="L109" s="8" t="str">
        <f t="shared" si="7"/>
        <v>NULL</v>
      </c>
      <c r="M109" s="6">
        <f t="shared" si="8"/>
        <v>0</v>
      </c>
      <c r="N109" s="9">
        <f t="shared" ca="1" si="9"/>
        <v>3007</v>
      </c>
      <c r="O109" s="6" t="str">
        <f t="shared" si="10"/>
        <v>GST Paid</v>
      </c>
      <c r="P109" t="str">
        <f t="shared" si="11"/>
        <v xml:space="preserve">TUGLAKABAD ICD (INTKD6) - Current Que LEO Date EP Copy Print Status DBK Scroll No Scroll Date EGM Integration Status
HIST  30 AUG 2017 00:08  Y  21843/2017  21 SEP 2017 00:09  Y </v>
      </c>
    </row>
    <row r="110" spans="1:16">
      <c r="A110" t="s">
        <v>16</v>
      </c>
      <c r="B110">
        <v>8290787</v>
      </c>
      <c r="C110" t="s">
        <v>487</v>
      </c>
      <c r="D110" t="s">
        <v>496</v>
      </c>
      <c r="E110" t="s">
        <v>481</v>
      </c>
      <c r="F110" t="s">
        <v>493</v>
      </c>
      <c r="G110" t="s">
        <v>494</v>
      </c>
      <c r="H110" t="s">
        <v>495</v>
      </c>
      <c r="I110" t="s">
        <v>464</v>
      </c>
      <c r="J110" s="6" t="str">
        <f t="shared" si="6"/>
        <v>NULL</v>
      </c>
      <c r="K110" s="6" t="str">
        <f>IF(J110="","",IF(J110="ROSL CLAIMED","ROSL CLAIMED","ROSL NOT CLAIMED"))</f>
        <v>ROSL NOT CLAIMED</v>
      </c>
      <c r="L110" s="8" t="str">
        <f t="shared" si="7"/>
        <v>NULL</v>
      </c>
      <c r="M110" s="6">
        <f t="shared" si="8"/>
        <v>0</v>
      </c>
      <c r="N110" s="9">
        <f t="shared" ca="1" si="9"/>
        <v>3007</v>
      </c>
      <c r="O110" s="6" t="str">
        <f t="shared" si="10"/>
        <v>GST Paid</v>
      </c>
      <c r="P110" t="str">
        <f t="shared" si="11"/>
        <v xml:space="preserve">TUGLAKABAD ICD (INTKD6) - Current Que LEO Date EP Copy Print Status DBK Scroll No Scroll Date EGM Integration Status
HIST  30 AUG 2017 00:08  Y  21843/2017  21 SEP 2017 00:09  Y </v>
      </c>
    </row>
    <row r="111" spans="1:16">
      <c r="A111" t="s">
        <v>16</v>
      </c>
      <c r="B111">
        <v>8304313</v>
      </c>
      <c r="C111" t="s">
        <v>497</v>
      </c>
      <c r="D111" t="s">
        <v>498</v>
      </c>
      <c r="E111" t="s">
        <v>390</v>
      </c>
      <c r="F111" t="s">
        <v>499</v>
      </c>
      <c r="G111" t="s">
        <v>21</v>
      </c>
      <c r="H111" t="s">
        <v>500</v>
      </c>
      <c r="I111" t="s">
        <v>501</v>
      </c>
      <c r="J111" s="6" t="str">
        <f t="shared" si="6"/>
        <v>ROSL NOT CLAIMED</v>
      </c>
      <c r="K111" s="6" t="str">
        <f>IF(J111="","",IF(J111="ROSL CLAIMED","ROSL CLAIMED","ROSL NOT CLAIMED"))</f>
        <v>ROSL NOT CLAIMED</v>
      </c>
      <c r="L111" s="8" t="str">
        <f t="shared" si="7"/>
        <v>NULL</v>
      </c>
      <c r="M111" s="6">
        <f t="shared" si="8"/>
        <v>0</v>
      </c>
      <c r="N111" s="9">
        <f t="shared" ca="1" si="9"/>
        <v>3006</v>
      </c>
      <c r="O111" s="6" t="str">
        <f t="shared" si="10"/>
        <v>GST Paid</v>
      </c>
      <c r="P111" t="str">
        <f t="shared" si="11"/>
        <v xml:space="preserve">TUGLAKABAD ICD (INTKD6) - Current Que LEO Date EP Copy Print Status DBK Scroll No Scroll Date EGM Integration Status
HIST  01 SEP 2017 00:09  Y  21843/2017  21 SEP 2017 00:09  Y </v>
      </c>
    </row>
    <row r="112" spans="1:16">
      <c r="A112" t="s">
        <v>16</v>
      </c>
      <c r="B112">
        <v>8305029</v>
      </c>
      <c r="C112" t="s">
        <v>497</v>
      </c>
      <c r="D112" t="s">
        <v>502</v>
      </c>
      <c r="E112" t="s">
        <v>402</v>
      </c>
      <c r="F112" t="s">
        <v>503</v>
      </c>
      <c r="G112" t="s">
        <v>21</v>
      </c>
      <c r="H112" t="s">
        <v>504</v>
      </c>
      <c r="I112" t="s">
        <v>505</v>
      </c>
      <c r="J112" s="6" t="str">
        <f t="shared" si="6"/>
        <v>ROSL NOT CLAIMED</v>
      </c>
      <c r="K112" s="6" t="str">
        <f>IF(J112="","",IF(J112="ROSL CLAIMED","ROSL CLAIMED","ROSL NOT CLAIMED"))</f>
        <v>ROSL NOT CLAIMED</v>
      </c>
      <c r="L112" s="8" t="str">
        <f t="shared" si="7"/>
        <v>062884  AYZPP59</v>
      </c>
      <c r="M112" s="6">
        <f t="shared" si="8"/>
        <v>0</v>
      </c>
      <c r="N112" s="9">
        <f t="shared" ca="1" si="9"/>
        <v>3006</v>
      </c>
      <c r="O112" s="6" t="str">
        <f t="shared" si="10"/>
        <v>GST Paid</v>
      </c>
      <c r="P112" t="str">
        <f t="shared" si="11"/>
        <v xml:space="preserve">TUGLAKABAD ICD (INTKD6) - Current Que LEO Date EP Copy Print Status DBK Scroll No Scroll Date EGM Integration Status
HIST  04 SEP 2017 00:09  Y  21843/2017  21 SEP 2017 00:09  Y </v>
      </c>
    </row>
    <row r="113" spans="1:16">
      <c r="A113" t="s">
        <v>16</v>
      </c>
      <c r="B113">
        <v>8322996</v>
      </c>
      <c r="C113" t="s">
        <v>506</v>
      </c>
      <c r="D113" t="s">
        <v>507</v>
      </c>
      <c r="E113" t="s">
        <v>402</v>
      </c>
      <c r="F113" t="s">
        <v>508</v>
      </c>
      <c r="G113" t="s">
        <v>21</v>
      </c>
      <c r="H113" t="s">
        <v>509</v>
      </c>
      <c r="I113" t="s">
        <v>510</v>
      </c>
      <c r="J113" s="6" t="str">
        <f t="shared" si="6"/>
        <v>ROSL NOT CLAIMED</v>
      </c>
      <c r="K113" s="6" t="str">
        <f>IF(J113="","",IF(J113="ROSL CLAIMED","ROSL CLAIMED","ROSL NOT CLAIMED"))</f>
        <v>ROSL NOT CLAIMED</v>
      </c>
      <c r="L113" s="8" t="str">
        <f t="shared" si="7"/>
        <v>061  AAECB3928M</v>
      </c>
      <c r="M113" s="6">
        <f t="shared" si="8"/>
        <v>0</v>
      </c>
      <c r="N113" s="9">
        <f t="shared" ca="1" si="9"/>
        <v>3005</v>
      </c>
      <c r="O113" s="6" t="str">
        <f t="shared" si="10"/>
        <v>GST Paid</v>
      </c>
      <c r="P113" t="str">
        <f t="shared" si="11"/>
        <v xml:space="preserve">TUGLAKABAD ICD (INTKD6) - Current Que LEO Date EP Copy Print Status DBK Scroll No Scroll Date EGM Integration Status
HIST  04 SEP 2017 00:09  Y  21843/2017  21 SEP 2017 00:09  Y </v>
      </c>
    </row>
    <row r="114" spans="1:16">
      <c r="A114" t="s">
        <v>16</v>
      </c>
      <c r="B114">
        <v>8323127</v>
      </c>
      <c r="C114" t="s">
        <v>506</v>
      </c>
      <c r="D114" t="s">
        <v>511</v>
      </c>
      <c r="E114" t="s">
        <v>512</v>
      </c>
      <c r="F114" t="s">
        <v>513</v>
      </c>
      <c r="G114" t="s">
        <v>39</v>
      </c>
      <c r="H114" t="s">
        <v>514</v>
      </c>
      <c r="I114" t="s">
        <v>515</v>
      </c>
      <c r="J114" s="6" t="str">
        <f t="shared" si="6"/>
        <v>ROSL CLAIMED</v>
      </c>
      <c r="K114" s="6" t="str">
        <f>IF(J114="","",IF(J114="ROSL CLAIMED","ROSL CLAIMED","ROSL NOT CLAIMED"))</f>
        <v>ROSL CLAIMED</v>
      </c>
      <c r="L114" s="8" t="str">
        <f t="shared" si="7"/>
        <v>0671  FHMPS1058</v>
      </c>
      <c r="M114" s="6">
        <f t="shared" si="8"/>
        <v>1</v>
      </c>
      <c r="N114" s="9">
        <f t="shared" ca="1" si="9"/>
        <v>3005</v>
      </c>
      <c r="O114" s="6" t="str">
        <f t="shared" si="10"/>
        <v>GST Paid</v>
      </c>
      <c r="P114" t="str">
        <f t="shared" si="11"/>
        <v xml:space="preserve">TUGLAKABAD ICD (INTKD6) - Current Que LEO Date EP Copy Print Status DBK Scroll No Scroll Date EGM Integration Status
HIST  01 SEP 2017 00:09  Y  N.A.  N.A.  Y </v>
      </c>
    </row>
    <row r="115" spans="1:16">
      <c r="A115" t="s">
        <v>16</v>
      </c>
      <c r="B115">
        <v>8325105</v>
      </c>
      <c r="C115" t="s">
        <v>506</v>
      </c>
      <c r="D115" t="s">
        <v>516</v>
      </c>
      <c r="E115" t="s">
        <v>517</v>
      </c>
      <c r="F115" t="s">
        <v>518</v>
      </c>
      <c r="G115" t="s">
        <v>21</v>
      </c>
      <c r="H115" t="s">
        <v>519</v>
      </c>
      <c r="I115" t="s">
        <v>520</v>
      </c>
      <c r="J115" s="6" t="str">
        <f t="shared" si="6"/>
        <v>ROSL NOT CLAIMED</v>
      </c>
      <c r="K115" s="6" t="str">
        <f>IF(J115="","",IF(J115="ROSL CLAIMED","ROSL CLAIMED","ROSL NOT CLAIMED"))</f>
        <v>ROSL NOT CLAIMED</v>
      </c>
      <c r="L115" s="8" t="str">
        <f t="shared" si="7"/>
        <v>NULL</v>
      </c>
      <c r="M115" s="6">
        <f t="shared" si="8"/>
        <v>0</v>
      </c>
      <c r="N115" s="9">
        <f t="shared" ca="1" si="9"/>
        <v>3005</v>
      </c>
      <c r="O115" s="6" t="str">
        <f t="shared" si="10"/>
        <v>GST Paid</v>
      </c>
      <c r="P115" t="str">
        <f t="shared" si="11"/>
        <v xml:space="preserve">TUGLAKABAD ICD (INTKD6) - Current Que LEO Date EP Copy Print Status DBK Scroll No Scroll Date EGM Integration Status
HIST  01 SEP 2017 00:09  Y  24432/2018  25 MAR 2018 00:03  Y </v>
      </c>
    </row>
    <row r="116" spans="1:16">
      <c r="A116" t="s">
        <v>16</v>
      </c>
      <c r="B116">
        <v>8338701</v>
      </c>
      <c r="C116" t="s">
        <v>506</v>
      </c>
      <c r="D116" t="s">
        <v>521</v>
      </c>
      <c r="E116" t="s">
        <v>390</v>
      </c>
      <c r="F116" t="s">
        <v>522</v>
      </c>
      <c r="G116" t="s">
        <v>21</v>
      </c>
      <c r="H116" t="s">
        <v>523</v>
      </c>
      <c r="I116" t="s">
        <v>524</v>
      </c>
      <c r="J116" s="6" t="str">
        <f t="shared" si="6"/>
        <v>ROSL NOT CLAIMED</v>
      </c>
      <c r="K116" s="6" t="str">
        <f>IF(J116="","",IF(J116="ROSL CLAIMED","ROSL CLAIMED","ROSL NOT CLAIMED"))</f>
        <v>ROSL NOT CLAIMED</v>
      </c>
      <c r="L116" s="8" t="str">
        <f t="shared" si="7"/>
        <v>NULL</v>
      </c>
      <c r="M116" s="6">
        <f t="shared" si="8"/>
        <v>0</v>
      </c>
      <c r="N116" s="9">
        <f t="shared" ca="1" si="9"/>
        <v>3005</v>
      </c>
      <c r="O116" s="6" t="str">
        <f t="shared" si="10"/>
        <v>GST Paid</v>
      </c>
      <c r="P116" t="str">
        <f t="shared" si="11"/>
        <v xml:space="preserve">TUGLAKABAD ICD (INTKD6) - Current Que LEO Date EP Copy Print Status DBK Scroll No Scroll Date EGM Integration Status
HIST  01 SEP 2017 00:09  Y  21843/2017  21 SEP 2017 00:09  Y </v>
      </c>
    </row>
    <row r="117" spans="1:16">
      <c r="A117" t="s">
        <v>16</v>
      </c>
      <c r="B117">
        <v>8338807</v>
      </c>
      <c r="C117" t="s">
        <v>506</v>
      </c>
      <c r="D117" t="s">
        <v>525</v>
      </c>
      <c r="E117" t="s">
        <v>526</v>
      </c>
      <c r="F117" t="s">
        <v>527</v>
      </c>
      <c r="G117" t="s">
        <v>39</v>
      </c>
      <c r="H117" t="s">
        <v>528</v>
      </c>
      <c r="I117" t="s">
        <v>529</v>
      </c>
      <c r="J117" s="6" t="str">
        <f t="shared" si="6"/>
        <v>ROSL CLAIMED</v>
      </c>
      <c r="K117" s="6" t="str">
        <f>IF(J117="","",IF(J117="ROSL CLAIMED","ROSL CLAIMED","ROSL NOT CLAIMED"))</f>
        <v>ROSL CLAIMED</v>
      </c>
      <c r="L117" s="8" t="str">
        <f t="shared" si="7"/>
        <v>NULL</v>
      </c>
      <c r="M117" s="6">
        <f t="shared" si="8"/>
        <v>1</v>
      </c>
      <c r="N117" s="9">
        <f t="shared" ca="1" si="9"/>
        <v>3005</v>
      </c>
      <c r="O117" s="6" t="str">
        <f t="shared" si="10"/>
        <v>GST Paid</v>
      </c>
      <c r="P117" t="str">
        <f t="shared" si="11"/>
        <v xml:space="preserve">TUGLAKABAD ICD (INTKD6) - Current Que LEO Date EP Copy Print Status DBK Scroll No Scroll Date EGM Integration Status
HIST  05 SEP 2017 00:09  Y  N.A.  N.A.  Y </v>
      </c>
    </row>
    <row r="118" spans="1:16">
      <c r="A118" t="s">
        <v>16</v>
      </c>
      <c r="B118">
        <v>8338839</v>
      </c>
      <c r="C118" t="s">
        <v>506</v>
      </c>
      <c r="D118" t="s">
        <v>530</v>
      </c>
      <c r="E118" t="s">
        <v>531</v>
      </c>
      <c r="F118" t="s">
        <v>532</v>
      </c>
      <c r="G118" t="s">
        <v>21</v>
      </c>
      <c r="H118" t="s">
        <v>533</v>
      </c>
      <c r="I118" t="s">
        <v>534</v>
      </c>
      <c r="J118" s="6" t="str">
        <f t="shared" si="6"/>
        <v>ROSL NOT CLAIMED</v>
      </c>
      <c r="K118" s="6" t="str">
        <f>IF(J118="","",IF(J118="ROSL CLAIMED","ROSL CLAIMED","ROSL NOT CLAIMED"))</f>
        <v>ROSL NOT CLAIMED</v>
      </c>
      <c r="L118" s="8" t="str">
        <f t="shared" si="7"/>
        <v>NULL</v>
      </c>
      <c r="M118" s="6">
        <f t="shared" si="8"/>
        <v>0</v>
      </c>
      <c r="N118" s="9">
        <f t="shared" ca="1" si="9"/>
        <v>3005</v>
      </c>
      <c r="O118" s="6" t="str">
        <f t="shared" si="10"/>
        <v>GST Paid</v>
      </c>
      <c r="P118" t="str">
        <f t="shared" si="11"/>
        <v xml:space="preserve">TUGLAKABAD ICD (INTKD6) - Current Que LEO Date EP Copy Print Status DBK Scroll No Scroll Date EGM Integration Status
HIST  05 SEP 2017 00:09  Y  21843/2017  21 SEP 2017 00:09  Y </v>
      </c>
    </row>
    <row r="119" spans="1:16">
      <c r="A119" t="s">
        <v>16</v>
      </c>
      <c r="B119">
        <v>8340706</v>
      </c>
      <c r="C119" t="s">
        <v>506</v>
      </c>
      <c r="D119" t="s">
        <v>535</v>
      </c>
      <c r="E119" t="s">
        <v>536</v>
      </c>
      <c r="F119" t="s">
        <v>537</v>
      </c>
      <c r="G119" t="s">
        <v>21</v>
      </c>
      <c r="H119" t="s">
        <v>538</v>
      </c>
      <c r="I119" t="s">
        <v>539</v>
      </c>
      <c r="J119" s="6" t="str">
        <f t="shared" si="6"/>
        <v>ROSL NOT CLAIMED</v>
      </c>
      <c r="K119" s="6" t="str">
        <f>IF(J119="","",IF(J119="ROSL CLAIMED","ROSL CLAIMED","ROSL NOT CLAIMED"))</f>
        <v>ROSL NOT CLAIMED</v>
      </c>
      <c r="L119" s="8" t="str">
        <f t="shared" si="7"/>
        <v>NULL</v>
      </c>
      <c r="M119" s="6">
        <f t="shared" si="8"/>
        <v>0</v>
      </c>
      <c r="N119" s="9">
        <f t="shared" ca="1" si="9"/>
        <v>3005</v>
      </c>
      <c r="O119" s="6" t="str">
        <f t="shared" si="10"/>
        <v>GST Paid</v>
      </c>
      <c r="P119" t="str">
        <f t="shared" si="11"/>
        <v xml:space="preserve">TUGLAKABAD ICD (INTKD6) - Current Que LEO Date EP Copy Print Status DBK Scroll No Scroll Date EGM Integration Status
HIST  06 SEP 2017 00:09  Y  21843/2017  21 SEP 2017 00:09  Y </v>
      </c>
    </row>
    <row r="120" spans="1:16">
      <c r="A120" t="s">
        <v>16</v>
      </c>
      <c r="B120">
        <v>8348694</v>
      </c>
      <c r="C120" t="s">
        <v>540</v>
      </c>
      <c r="D120" t="s">
        <v>541</v>
      </c>
      <c r="E120" t="s">
        <v>542</v>
      </c>
      <c r="F120" t="s">
        <v>543</v>
      </c>
      <c r="G120" t="s">
        <v>21</v>
      </c>
      <c r="H120" t="s">
        <v>544</v>
      </c>
      <c r="I120" t="s">
        <v>393</v>
      </c>
      <c r="J120" s="6" t="str">
        <f t="shared" si="6"/>
        <v>ROSL NOT CLAIMED</v>
      </c>
      <c r="K120" s="6" t="str">
        <f>IF(J120="","",IF(J120="ROSL CLAIMED","ROSL CLAIMED","ROSL NOT CLAIMED"))</f>
        <v>ROSL NOT CLAIMED</v>
      </c>
      <c r="L120" s="8" t="str">
        <f t="shared" si="7"/>
        <v>NULL</v>
      </c>
      <c r="M120" s="6">
        <f t="shared" si="8"/>
        <v>0</v>
      </c>
      <c r="N120" s="9">
        <f t="shared" ca="1" si="9"/>
        <v>3004</v>
      </c>
      <c r="O120" s="6" t="str">
        <f t="shared" si="10"/>
        <v>GST Paid</v>
      </c>
      <c r="P120" t="str">
        <f t="shared" si="11"/>
        <v xml:space="preserve">TUGLAKABAD ICD (INTKD6) - Current Que LEO Date EP Copy Print Status DBK Scroll No Scroll Date EGM Integration Status
HIST  08 SEP 2017 00:09  Y  21843/2017  21 SEP 2017 00:09  Y </v>
      </c>
    </row>
    <row r="121" spans="1:16">
      <c r="A121" t="s">
        <v>16</v>
      </c>
      <c r="B121">
        <v>8361009</v>
      </c>
      <c r="C121" t="s">
        <v>540</v>
      </c>
      <c r="D121" t="s">
        <v>545</v>
      </c>
      <c r="E121" t="s">
        <v>402</v>
      </c>
      <c r="F121" t="s">
        <v>508</v>
      </c>
      <c r="G121" t="s">
        <v>546</v>
      </c>
      <c r="H121" t="s">
        <v>547</v>
      </c>
      <c r="I121" t="s">
        <v>510</v>
      </c>
      <c r="J121" s="6" t="str">
        <f t="shared" si="6"/>
        <v>NULL</v>
      </c>
      <c r="K121" s="6" t="str">
        <f>IF(J121="","",IF(J121="ROSL CLAIMED","ROSL CLAIMED","ROSL NOT CLAIMED"))</f>
        <v>ROSL NOT CLAIMED</v>
      </c>
      <c r="L121" s="8" t="str">
        <f t="shared" si="7"/>
        <v>NULL</v>
      </c>
      <c r="M121" s="6">
        <f t="shared" si="8"/>
        <v>0</v>
      </c>
      <c r="N121" s="9">
        <f t="shared" ca="1" si="9"/>
        <v>3004</v>
      </c>
      <c r="O121" s="6" t="str">
        <f t="shared" si="10"/>
        <v>GST Paid</v>
      </c>
      <c r="P121" t="str">
        <f t="shared" si="11"/>
        <v xml:space="preserve">TUGLAKABAD ICD (INTKD6) - Current Que LEO Date EP Copy Print Status DBK Scroll No Scroll Date EGM Integration Status
HIST  04 SEP 2017 00:09  Y  21843/2017  21 SEP 2017 00:09  Y </v>
      </c>
    </row>
    <row r="122" spans="1:16">
      <c r="A122" t="s">
        <v>16</v>
      </c>
      <c r="B122">
        <v>8371290</v>
      </c>
      <c r="C122" t="s">
        <v>540</v>
      </c>
      <c r="D122" t="s">
        <v>548</v>
      </c>
      <c r="E122" t="s">
        <v>402</v>
      </c>
      <c r="F122" t="s">
        <v>549</v>
      </c>
      <c r="G122" t="s">
        <v>21</v>
      </c>
      <c r="H122" t="s">
        <v>550</v>
      </c>
      <c r="I122" t="s">
        <v>551</v>
      </c>
      <c r="J122" s="6" t="str">
        <f t="shared" si="6"/>
        <v>ROSL NOT CLAIMED</v>
      </c>
      <c r="K122" s="6" t="str">
        <f>IF(J122="","",IF(J122="ROSL CLAIMED","ROSL CLAIMED","ROSL NOT CLAIMED"))</f>
        <v>ROSL NOT CLAIMED</v>
      </c>
      <c r="L122" s="8" t="str">
        <f t="shared" si="7"/>
        <v>NULL</v>
      </c>
      <c r="M122" s="6">
        <f t="shared" si="8"/>
        <v>0</v>
      </c>
      <c r="N122" s="9">
        <f t="shared" ca="1" si="9"/>
        <v>3004</v>
      </c>
      <c r="O122" s="6" t="str">
        <f t="shared" si="10"/>
        <v>GST Paid</v>
      </c>
      <c r="P122" t="str">
        <f t="shared" si="11"/>
        <v xml:space="preserve">TUGLAKABAD ICD (INTKD6) - Current Que LEO Date EP Copy Print Status DBK Scroll No Scroll Date EGM Integration Status
HIST  04 SEP 2017 00:09  Y  21843/2017  21 SEP 2017 00:09  Y </v>
      </c>
    </row>
    <row r="123" spans="1:16">
      <c r="A123" t="s">
        <v>16</v>
      </c>
      <c r="B123">
        <v>8375057</v>
      </c>
      <c r="C123" t="s">
        <v>540</v>
      </c>
      <c r="D123" t="s">
        <v>552</v>
      </c>
      <c r="E123" t="s">
        <v>553</v>
      </c>
      <c r="F123" t="s">
        <v>554</v>
      </c>
      <c r="G123" t="s">
        <v>21</v>
      </c>
      <c r="H123" t="s">
        <v>555</v>
      </c>
      <c r="I123" t="s">
        <v>252</v>
      </c>
      <c r="J123" s="6" t="str">
        <f t="shared" si="6"/>
        <v>ROSL NOT CLAIMED</v>
      </c>
      <c r="K123" s="6" t="str">
        <f>IF(J123="","",IF(J123="ROSL CLAIMED","ROSL CLAIMED","ROSL NOT CLAIMED"))</f>
        <v>ROSL NOT CLAIMED</v>
      </c>
      <c r="L123" s="8" t="str">
        <f t="shared" si="7"/>
        <v>06035182  AFYPK</v>
      </c>
      <c r="M123" s="6">
        <f t="shared" si="8"/>
        <v>0</v>
      </c>
      <c r="N123" s="9">
        <f t="shared" ca="1" si="9"/>
        <v>3004</v>
      </c>
      <c r="O123" s="6" t="str">
        <f t="shared" si="10"/>
        <v>GST Paid</v>
      </c>
      <c r="P123" t="str">
        <f t="shared" si="11"/>
        <v xml:space="preserve">TUGLAKABAD ICD (INTKD6) - Current Que LEO Date EP Copy Print Status DBK Scroll No Scroll Date EGM Integration Status
HIST  07 SEP 2017 00:09  Y  21843/2017  21 SEP 2017 00:09  Y </v>
      </c>
    </row>
    <row r="124" spans="1:16">
      <c r="A124" t="s">
        <v>16</v>
      </c>
      <c r="B124">
        <v>8395136</v>
      </c>
      <c r="C124" t="s">
        <v>556</v>
      </c>
      <c r="D124" t="s">
        <v>557</v>
      </c>
      <c r="E124" t="s">
        <v>526</v>
      </c>
      <c r="F124" t="s">
        <v>558</v>
      </c>
      <c r="G124" t="s">
        <v>21</v>
      </c>
      <c r="H124" t="s">
        <v>559</v>
      </c>
      <c r="I124" t="s">
        <v>560</v>
      </c>
      <c r="J124" s="6" t="str">
        <f t="shared" si="6"/>
        <v>ROSL NOT CLAIMED</v>
      </c>
      <c r="K124" s="6" t="str">
        <f>IF(J124="","",IF(J124="ROSL CLAIMED","ROSL CLAIMED","ROSL NOT CLAIMED"))</f>
        <v>ROSL NOT CLAIMED</v>
      </c>
      <c r="L124" s="8" t="str">
        <f t="shared" si="7"/>
        <v>069948  AAAFJ17</v>
      </c>
      <c r="M124" s="6">
        <f t="shared" si="8"/>
        <v>0</v>
      </c>
      <c r="N124" s="9">
        <f t="shared" ca="1" si="9"/>
        <v>3003</v>
      </c>
      <c r="O124" s="6" t="str">
        <f t="shared" si="10"/>
        <v>GST Paid</v>
      </c>
      <c r="P124" t="str">
        <f t="shared" si="11"/>
        <v xml:space="preserve">TUGLAKABAD ICD (INTKD6) - Current Que LEO Date EP Copy Print Status DBK Scroll No Scroll Date EGM Integration Status
HIST  05 SEP 2017 00:09  Y  N.A.  N.A.  Y </v>
      </c>
    </row>
    <row r="125" spans="1:16">
      <c r="A125" t="s">
        <v>16</v>
      </c>
      <c r="B125">
        <v>8395644</v>
      </c>
      <c r="C125" t="s">
        <v>556</v>
      </c>
      <c r="D125" t="s">
        <v>561</v>
      </c>
      <c r="E125" t="s">
        <v>536</v>
      </c>
      <c r="F125" t="s">
        <v>562</v>
      </c>
      <c r="G125" t="s">
        <v>21</v>
      </c>
      <c r="H125" t="s">
        <v>563</v>
      </c>
      <c r="I125" t="s">
        <v>564</v>
      </c>
      <c r="J125" s="6" t="str">
        <f t="shared" si="6"/>
        <v>ROSL NOT CLAIMED</v>
      </c>
      <c r="K125" s="6" t="str">
        <f>IF(J125="","",IF(J125="ROSL CLAIMED","ROSL CLAIMED","ROSL NOT CLAIMED"))</f>
        <v>ROSL NOT CLAIMED</v>
      </c>
      <c r="L125" s="8" t="str">
        <f t="shared" si="7"/>
        <v>NULL</v>
      </c>
      <c r="M125" s="6">
        <f t="shared" si="8"/>
        <v>0</v>
      </c>
      <c r="N125" s="9">
        <f t="shared" ca="1" si="9"/>
        <v>3003</v>
      </c>
      <c r="O125" s="6" t="str">
        <f t="shared" si="10"/>
        <v>GST Paid</v>
      </c>
      <c r="P125" t="str">
        <f t="shared" si="11"/>
        <v xml:space="preserve">TUGLAKABAD ICD (INTKD6) - Current Que LEO Date EP Copy Print Status DBK Scroll No Scroll Date EGM Integration Status
HIST  06 SEP 2017 00:09  Y  21843/2017  21 SEP 2017 00:09  Y </v>
      </c>
    </row>
    <row r="126" spans="1:16">
      <c r="A126" t="s">
        <v>16</v>
      </c>
      <c r="B126">
        <v>8398137</v>
      </c>
      <c r="C126" t="s">
        <v>556</v>
      </c>
      <c r="D126" t="s">
        <v>565</v>
      </c>
      <c r="E126" t="s">
        <v>553</v>
      </c>
      <c r="F126" t="s">
        <v>566</v>
      </c>
      <c r="G126" t="s">
        <v>21</v>
      </c>
      <c r="H126" t="s">
        <v>567</v>
      </c>
      <c r="I126" t="s">
        <v>34</v>
      </c>
      <c r="J126" s="6" t="str">
        <f t="shared" si="6"/>
        <v>ROSL NOT CLAIMED</v>
      </c>
      <c r="K126" s="6" t="str">
        <f>IF(J126="","",IF(J126="ROSL CLAIMED","ROSL CLAIMED","ROSL NOT CLAIMED"))</f>
        <v>ROSL NOT CLAIMED</v>
      </c>
      <c r="L126" s="8" t="str">
        <f t="shared" si="7"/>
        <v>NULL</v>
      </c>
      <c r="M126" s="6">
        <f t="shared" si="8"/>
        <v>0</v>
      </c>
      <c r="N126" s="9">
        <f t="shared" ca="1" si="9"/>
        <v>3003</v>
      </c>
      <c r="O126" s="6" t="str">
        <f t="shared" si="10"/>
        <v>GST Paid</v>
      </c>
      <c r="P126" t="str">
        <f t="shared" si="11"/>
        <v xml:space="preserve">TUGLAKABAD ICD (INTKD6) - Current Que LEO Date EP Copy Print Status DBK Scroll No Scroll Date EGM Integration Status
HIST  07 SEP 2017 00:09  Y  21843/2017  21 SEP 2017 00:09  Y </v>
      </c>
    </row>
    <row r="127" spans="1:16">
      <c r="A127" t="s">
        <v>16</v>
      </c>
      <c r="B127">
        <v>8411392</v>
      </c>
      <c r="C127" t="s">
        <v>568</v>
      </c>
      <c r="D127" t="s">
        <v>569</v>
      </c>
      <c r="E127" t="s">
        <v>570</v>
      </c>
      <c r="F127" t="s">
        <v>571</v>
      </c>
      <c r="G127" t="s">
        <v>39</v>
      </c>
      <c r="H127" t="s">
        <v>572</v>
      </c>
      <c r="I127" t="s">
        <v>34</v>
      </c>
      <c r="J127" s="6" t="str">
        <f t="shared" si="6"/>
        <v>ROSL CLAIMED</v>
      </c>
      <c r="K127" s="6" t="str">
        <f>IF(J127="","",IF(J127="ROSL CLAIMED","ROSL CLAIMED","ROSL NOT CLAIMED"))</f>
        <v>ROSL CLAIMED</v>
      </c>
      <c r="L127" s="8" t="str">
        <f t="shared" si="7"/>
        <v>NULL</v>
      </c>
      <c r="M127" s="6">
        <f t="shared" si="8"/>
        <v>1</v>
      </c>
      <c r="N127" s="9">
        <f t="shared" ca="1" si="9"/>
        <v>3002</v>
      </c>
      <c r="O127" s="6" t="str">
        <f t="shared" si="10"/>
        <v>GST Paid</v>
      </c>
      <c r="P127" t="str">
        <f t="shared" si="11"/>
        <v xml:space="preserve">TUGLAKABAD ICD (INTKD6) - Current Que LEO Date EP Copy Print Status DBK Scroll No Scroll Date EGM Integration Status
HIST  15 SEP 2017 00:09  Y  N.A.  N.A.  Y </v>
      </c>
    </row>
    <row r="128" spans="1:16">
      <c r="A128" t="s">
        <v>16</v>
      </c>
      <c r="B128">
        <v>8424214</v>
      </c>
      <c r="C128" t="s">
        <v>573</v>
      </c>
      <c r="D128" t="s">
        <v>574</v>
      </c>
      <c r="E128" t="s">
        <v>526</v>
      </c>
      <c r="F128" t="s">
        <v>575</v>
      </c>
      <c r="G128" t="s">
        <v>39</v>
      </c>
      <c r="H128" t="s">
        <v>576</v>
      </c>
      <c r="I128" t="s">
        <v>577</v>
      </c>
      <c r="J128" s="6" t="str">
        <f t="shared" si="6"/>
        <v>ROSL CLAIMED</v>
      </c>
      <c r="K128" s="6" t="str">
        <f>IF(J128="","",IF(J128="ROSL CLAIMED","ROSL CLAIMED","ROSL NOT CLAIMED"))</f>
        <v>ROSL CLAIMED</v>
      </c>
      <c r="L128" s="8" t="str">
        <f t="shared" si="7"/>
        <v>NULL</v>
      </c>
      <c r="M128" s="6">
        <f t="shared" si="8"/>
        <v>1</v>
      </c>
      <c r="N128" s="9">
        <f t="shared" ca="1" si="9"/>
        <v>3000</v>
      </c>
      <c r="O128" s="6" t="str">
        <f t="shared" si="10"/>
        <v>GST Paid</v>
      </c>
      <c r="P128" t="str">
        <f t="shared" si="11"/>
        <v xml:space="preserve">TUGLAKABAD ICD (INTKD6) - Current Que LEO Date EP Copy Print Status DBK Scroll No Scroll Date EGM Integration Status
HIST  05 SEP 2017 00:09  Y  N.A.  N.A.  Y </v>
      </c>
    </row>
    <row r="129" spans="1:16">
      <c r="A129" t="s">
        <v>16</v>
      </c>
      <c r="B129">
        <v>8424711</v>
      </c>
      <c r="C129" t="s">
        <v>573</v>
      </c>
      <c r="D129" t="s">
        <v>578</v>
      </c>
      <c r="E129" t="s">
        <v>531</v>
      </c>
      <c r="F129" t="s">
        <v>579</v>
      </c>
      <c r="G129" t="s">
        <v>21</v>
      </c>
      <c r="H129" t="s">
        <v>580</v>
      </c>
      <c r="I129" t="s">
        <v>581</v>
      </c>
      <c r="J129" s="6" t="str">
        <f t="shared" si="6"/>
        <v>ROSL NOT CLAIMED</v>
      </c>
      <c r="K129" s="6" t="str">
        <f>IF(J129="","",IF(J129="ROSL CLAIMED","ROSL CLAIMED","ROSL NOT CLAIMED"))</f>
        <v>ROSL NOT CLAIMED</v>
      </c>
      <c r="L129" s="8" t="str">
        <f t="shared" si="7"/>
        <v>06  04 SEP 2017</v>
      </c>
      <c r="M129" s="6">
        <f t="shared" si="8"/>
        <v>0</v>
      </c>
      <c r="N129" s="9">
        <f t="shared" ca="1" si="9"/>
        <v>3000</v>
      </c>
      <c r="O129" s="6" t="str">
        <f t="shared" si="10"/>
        <v>GST Paid</v>
      </c>
      <c r="P129" t="str">
        <f t="shared" si="11"/>
        <v xml:space="preserve">TUGLAKABAD ICD (INTKD6) - Current Que LEO Date EP Copy Print Status DBK Scroll No Scroll Date EGM Integration Status
HIST  05 SEP 2017 00:09  Y  21843/2017  21 SEP 2017 00:09  Y </v>
      </c>
    </row>
    <row r="130" spans="1:16">
      <c r="A130" t="s">
        <v>16</v>
      </c>
      <c r="B130">
        <v>8425293</v>
      </c>
      <c r="C130" t="s">
        <v>573</v>
      </c>
      <c r="D130" t="s">
        <v>582</v>
      </c>
      <c r="E130" t="s">
        <v>583</v>
      </c>
      <c r="F130" t="s">
        <v>584</v>
      </c>
      <c r="G130" t="s">
        <v>21</v>
      </c>
      <c r="H130" t="s">
        <v>585</v>
      </c>
      <c r="I130" t="s">
        <v>586</v>
      </c>
      <c r="J130" s="6" t="str">
        <f t="shared" si="6"/>
        <v>ROSL NOT CLAIMED</v>
      </c>
      <c r="K130" s="6" t="str">
        <f>IF(J130="","",IF(J130="ROSL CLAIMED","ROSL CLAIMED","ROSL NOT CLAIMED"))</f>
        <v>ROSL NOT CLAIMED</v>
      </c>
      <c r="L130" s="8" t="str">
        <f t="shared" si="7"/>
        <v>0692  AATPS3087</v>
      </c>
      <c r="M130" s="6">
        <f t="shared" si="8"/>
        <v>0</v>
      </c>
      <c r="N130" s="9">
        <f t="shared" ca="1" si="9"/>
        <v>3000</v>
      </c>
      <c r="O130" s="6" t="str">
        <f t="shared" si="10"/>
        <v>GST Paid</v>
      </c>
      <c r="P130" t="str">
        <f t="shared" si="11"/>
        <v xml:space="preserve">TUGLAKABAD ICD (INTKD6) - Current Que LEO Date EP Copy Print Status DBK Scroll No Scroll Date EGM Integration Status
HIST  14 SEP 2017 00:09  Y  21907/2017  26 SEP 2017 00:09  Y </v>
      </c>
    </row>
    <row r="131" spans="1:16">
      <c r="A131" t="s">
        <v>16</v>
      </c>
      <c r="B131">
        <v>8439375</v>
      </c>
      <c r="C131" t="s">
        <v>573</v>
      </c>
      <c r="D131" t="s">
        <v>587</v>
      </c>
      <c r="E131" t="s">
        <v>536</v>
      </c>
      <c r="F131" t="s">
        <v>588</v>
      </c>
      <c r="G131" t="s">
        <v>589</v>
      </c>
      <c r="H131" t="s">
        <v>590</v>
      </c>
      <c r="I131" t="s">
        <v>591</v>
      </c>
      <c r="J131" s="6" t="str">
        <f t="shared" ref="J131:J194" si="12">IF(ISNUMBER(SEARCH("NULL",G131)),"ROSL CLAIMED",
IF(ISNUMBER(SEARCH("ROSL NOT CLAIMED",G131)),"ROSL NOT CLAIMED","NULL"))</f>
        <v>NULL</v>
      </c>
      <c r="K131" s="6" t="str">
        <f>IF(J131="","",IF(J131="ROSL CLAIMED","ROSL CLAIMED","ROSL NOT CLAIMED"))</f>
        <v>ROSL NOT CLAIMED</v>
      </c>
      <c r="L131" s="8" t="str">
        <f t="shared" ref="L131:L194" si="13">IFERROR(MID(D131, SEARCH("06", D131), 15), "NULL")</f>
        <v>NULL</v>
      </c>
      <c r="M131" s="6">
        <f t="shared" ref="M131:M194" si="14">IF(K131="","",IF(K131="ROSL CLAIMED",1,IF(K131="ROSL NOT CLAIMED",0,"")))</f>
        <v>0</v>
      </c>
      <c r="N131" s="9">
        <f t="shared" ref="N131:N194" ca="1" si="15">IF(C131&lt;&gt;"", TODAY()-C131, "")</f>
        <v>3000</v>
      </c>
      <c r="O131" s="6" t="str">
        <f t="shared" ref="O131:O194" si="16">IF(H131=0,"Missing GST", IF(H131&gt;0,"GST Paid",""))</f>
        <v>GST Paid</v>
      </c>
      <c r="P131" t="str">
        <f t="shared" ref="P131:P194" si="17">CONCATENATE(A131," - ",E131)</f>
        <v xml:space="preserve">TUGLAKABAD ICD (INTKD6) - Current Que LEO Date EP Copy Print Status DBK Scroll No Scroll Date EGM Integration Status
HIST  06 SEP 2017 00:09  Y  21843/2017  21 SEP 2017 00:09  Y </v>
      </c>
    </row>
    <row r="132" spans="1:16">
      <c r="A132" t="s">
        <v>16</v>
      </c>
      <c r="B132">
        <v>8439383</v>
      </c>
      <c r="C132" t="s">
        <v>573</v>
      </c>
      <c r="D132" t="s">
        <v>592</v>
      </c>
      <c r="E132" t="s">
        <v>536</v>
      </c>
      <c r="F132" t="s">
        <v>593</v>
      </c>
      <c r="G132" t="s">
        <v>589</v>
      </c>
      <c r="H132" t="s">
        <v>590</v>
      </c>
      <c r="I132" t="s">
        <v>591</v>
      </c>
      <c r="J132" s="6" t="str">
        <f t="shared" si="12"/>
        <v>NULL</v>
      </c>
      <c r="K132" s="6" t="str">
        <f>IF(J132="","",IF(J132="ROSL CLAIMED","ROSL CLAIMED","ROSL NOT CLAIMED"))</f>
        <v>ROSL NOT CLAIMED</v>
      </c>
      <c r="L132" s="8" t="str">
        <f t="shared" si="13"/>
        <v>NULL</v>
      </c>
      <c r="M132" s="6">
        <f t="shared" si="14"/>
        <v>0</v>
      </c>
      <c r="N132" s="9">
        <f t="shared" ca="1" si="15"/>
        <v>3000</v>
      </c>
      <c r="O132" s="6" t="str">
        <f t="shared" si="16"/>
        <v>GST Paid</v>
      </c>
      <c r="P132" t="str">
        <f t="shared" si="17"/>
        <v xml:space="preserve">TUGLAKABAD ICD (INTKD6) - Current Que LEO Date EP Copy Print Status DBK Scroll No Scroll Date EGM Integration Status
HIST  06 SEP 2017 00:09  Y  21843/2017  21 SEP 2017 00:09  Y </v>
      </c>
    </row>
    <row r="133" spans="1:16">
      <c r="A133" t="s">
        <v>16</v>
      </c>
      <c r="B133">
        <v>8439422</v>
      </c>
      <c r="C133" t="s">
        <v>573</v>
      </c>
      <c r="D133" t="s">
        <v>594</v>
      </c>
      <c r="E133" t="s">
        <v>531</v>
      </c>
      <c r="F133" t="s">
        <v>595</v>
      </c>
      <c r="G133" t="s">
        <v>596</v>
      </c>
      <c r="H133" t="s">
        <v>597</v>
      </c>
      <c r="I133" t="s">
        <v>591</v>
      </c>
      <c r="J133" s="6" t="str">
        <f t="shared" si="12"/>
        <v>NULL</v>
      </c>
      <c r="K133" s="6" t="str">
        <f>IF(J133="","",IF(J133="ROSL CLAIMED","ROSL CLAIMED","ROSL NOT CLAIMED"))</f>
        <v>ROSL NOT CLAIMED</v>
      </c>
      <c r="L133" s="8" t="str">
        <f t="shared" si="13"/>
        <v>NULL</v>
      </c>
      <c r="M133" s="6">
        <f t="shared" si="14"/>
        <v>0</v>
      </c>
      <c r="N133" s="9">
        <f t="shared" ca="1" si="15"/>
        <v>3000</v>
      </c>
      <c r="O133" s="6" t="str">
        <f t="shared" si="16"/>
        <v>GST Paid</v>
      </c>
      <c r="P133" t="str">
        <f t="shared" si="17"/>
        <v xml:space="preserve">TUGLAKABAD ICD (INTKD6) - Current Que LEO Date EP Copy Print Status DBK Scroll No Scroll Date EGM Integration Status
HIST  05 SEP 2017 00:09  Y  21843/2017  21 SEP 2017 00:09  Y </v>
      </c>
    </row>
    <row r="134" spans="1:16">
      <c r="A134" t="s">
        <v>16</v>
      </c>
      <c r="B134">
        <v>8452436</v>
      </c>
      <c r="C134" t="s">
        <v>598</v>
      </c>
      <c r="D134" t="s">
        <v>599</v>
      </c>
      <c r="E134" t="s">
        <v>600</v>
      </c>
      <c r="F134" t="s">
        <v>601</v>
      </c>
      <c r="G134" t="s">
        <v>21</v>
      </c>
      <c r="H134" t="s">
        <v>602</v>
      </c>
      <c r="I134" t="s">
        <v>603</v>
      </c>
      <c r="J134" s="6" t="str">
        <f t="shared" si="12"/>
        <v>ROSL NOT CLAIMED</v>
      </c>
      <c r="K134" s="6" t="str">
        <f>IF(J134="","",IF(J134="ROSL CLAIMED","ROSL CLAIMED","ROSL NOT CLAIMED"))</f>
        <v>ROSL NOT CLAIMED</v>
      </c>
      <c r="L134" s="8" t="str">
        <f t="shared" si="13"/>
        <v>0616907401  AAC</v>
      </c>
      <c r="M134" s="6">
        <f t="shared" si="14"/>
        <v>0</v>
      </c>
      <c r="N134" s="9">
        <f t="shared" ca="1" si="15"/>
        <v>2999</v>
      </c>
      <c r="O134" s="6" t="str">
        <f t="shared" si="16"/>
        <v>GST Paid</v>
      </c>
      <c r="P134" t="str">
        <f t="shared" si="17"/>
        <v xml:space="preserve">TUGLAKABAD ICD (INTKD6) - Current Que LEO Date EP Copy Print Status DBK Scroll No Scroll Date EGM Integration Status
HIST  12 SEP 2017 00:09  Y  22032/2017  06 OCT 2017 00:10  Y </v>
      </c>
    </row>
    <row r="135" spans="1:16">
      <c r="A135" t="s">
        <v>16</v>
      </c>
      <c r="B135">
        <v>8457825</v>
      </c>
      <c r="C135" t="s">
        <v>598</v>
      </c>
      <c r="D135" t="s">
        <v>604</v>
      </c>
      <c r="E135" t="s">
        <v>542</v>
      </c>
      <c r="F135" t="s">
        <v>605</v>
      </c>
      <c r="G135" t="s">
        <v>21</v>
      </c>
      <c r="H135" t="s">
        <v>606</v>
      </c>
      <c r="I135" t="s">
        <v>34</v>
      </c>
      <c r="J135" s="6" t="str">
        <f t="shared" si="12"/>
        <v>ROSL NOT CLAIMED</v>
      </c>
      <c r="K135" s="6" t="str">
        <f>IF(J135="","",IF(J135="ROSL CLAIMED","ROSL CLAIMED","ROSL NOT CLAIMED"))</f>
        <v>ROSL NOT CLAIMED</v>
      </c>
      <c r="L135" s="8" t="str">
        <f t="shared" si="13"/>
        <v>NULL</v>
      </c>
      <c r="M135" s="6">
        <f t="shared" si="14"/>
        <v>0</v>
      </c>
      <c r="N135" s="9">
        <f t="shared" ca="1" si="15"/>
        <v>2999</v>
      </c>
      <c r="O135" s="6" t="str">
        <f t="shared" si="16"/>
        <v>GST Paid</v>
      </c>
      <c r="P135" t="str">
        <f t="shared" si="17"/>
        <v xml:space="preserve">TUGLAKABAD ICD (INTKD6) - Current Que LEO Date EP Copy Print Status DBK Scroll No Scroll Date EGM Integration Status
HIST  08 SEP 2017 00:09  Y  21843/2017  21 SEP 2017 00:09  Y </v>
      </c>
    </row>
    <row r="136" spans="1:16">
      <c r="A136" t="s">
        <v>16</v>
      </c>
      <c r="B136">
        <v>8462659</v>
      </c>
      <c r="C136" t="s">
        <v>598</v>
      </c>
      <c r="D136" t="s">
        <v>607</v>
      </c>
      <c r="E136" t="s">
        <v>608</v>
      </c>
      <c r="F136" t="s">
        <v>609</v>
      </c>
      <c r="G136" t="s">
        <v>39</v>
      </c>
      <c r="H136" t="s">
        <v>610</v>
      </c>
      <c r="I136" t="s">
        <v>380</v>
      </c>
      <c r="J136" s="6" t="str">
        <f t="shared" si="12"/>
        <v>ROSL CLAIMED</v>
      </c>
      <c r="K136" s="6" t="str">
        <f>IF(J136="","",IF(J136="ROSL CLAIMED","ROSL CLAIMED","ROSL NOT CLAIMED"))</f>
        <v>ROSL CLAIMED</v>
      </c>
      <c r="L136" s="8" t="str">
        <f t="shared" si="13"/>
        <v xml:space="preserve">060  277911  0 </v>
      </c>
      <c r="M136" s="6">
        <f t="shared" si="14"/>
        <v>1</v>
      </c>
      <c r="N136" s="9">
        <f t="shared" ca="1" si="15"/>
        <v>2999</v>
      </c>
      <c r="O136" s="6" t="str">
        <f t="shared" si="16"/>
        <v>GST Paid</v>
      </c>
      <c r="P136" t="str">
        <f t="shared" si="17"/>
        <v xml:space="preserve">TUGLAKABAD ICD (INTKD6) - Current Que LEO Date EP Copy Print Status DBK Scroll No Scroll Date EGM Integration Status
HIST  06 SEP 2017 00:09  Y  N.A.  N.A.  Y </v>
      </c>
    </row>
    <row r="137" spans="1:16">
      <c r="A137" t="s">
        <v>16</v>
      </c>
      <c r="B137">
        <v>8466834</v>
      </c>
      <c r="C137" t="s">
        <v>598</v>
      </c>
      <c r="D137" t="s">
        <v>611</v>
      </c>
      <c r="E137" t="s">
        <v>536</v>
      </c>
      <c r="F137" t="s">
        <v>612</v>
      </c>
      <c r="G137" t="s">
        <v>21</v>
      </c>
      <c r="H137" t="s">
        <v>613</v>
      </c>
      <c r="I137" t="s">
        <v>614</v>
      </c>
      <c r="J137" s="6" t="str">
        <f t="shared" si="12"/>
        <v>ROSL NOT CLAIMED</v>
      </c>
      <c r="K137" s="6" t="str">
        <f>IF(J137="","",IF(J137="ROSL CLAIMED","ROSL CLAIMED","ROSL NOT CLAIMED"))</f>
        <v>ROSL NOT CLAIMED</v>
      </c>
      <c r="L137" s="8" t="str">
        <f t="shared" si="13"/>
        <v>NULL</v>
      </c>
      <c r="M137" s="6">
        <f t="shared" si="14"/>
        <v>0</v>
      </c>
      <c r="N137" s="9">
        <f t="shared" ca="1" si="15"/>
        <v>2999</v>
      </c>
      <c r="O137" s="6" t="str">
        <f t="shared" si="16"/>
        <v>GST Paid</v>
      </c>
      <c r="P137" t="str">
        <f t="shared" si="17"/>
        <v xml:space="preserve">TUGLAKABAD ICD (INTKD6) - Current Que LEO Date EP Copy Print Status DBK Scroll No Scroll Date EGM Integration Status
HIST  06 SEP 2017 00:09  Y  21843/2017  21 SEP 2017 00:09  Y </v>
      </c>
    </row>
    <row r="138" spans="1:16">
      <c r="A138" t="s">
        <v>16</v>
      </c>
      <c r="B138">
        <v>8469058</v>
      </c>
      <c r="C138" t="s">
        <v>598</v>
      </c>
      <c r="D138" t="s">
        <v>615</v>
      </c>
      <c r="E138" t="s">
        <v>542</v>
      </c>
      <c r="F138" t="s">
        <v>616</v>
      </c>
      <c r="G138" t="s">
        <v>21</v>
      </c>
      <c r="H138" t="s">
        <v>617</v>
      </c>
      <c r="I138" t="s">
        <v>618</v>
      </c>
      <c r="J138" s="6" t="str">
        <f t="shared" si="12"/>
        <v>ROSL NOT CLAIMED</v>
      </c>
      <c r="K138" s="6" t="str">
        <f>IF(J138="","",IF(J138="ROSL CLAIMED","ROSL CLAIMED","ROSL NOT CLAIMED"))</f>
        <v>ROSL NOT CLAIMED</v>
      </c>
      <c r="L138" s="8" t="str">
        <f t="shared" si="13"/>
        <v>NULL</v>
      </c>
      <c r="M138" s="6">
        <f t="shared" si="14"/>
        <v>0</v>
      </c>
      <c r="N138" s="9">
        <f t="shared" ca="1" si="15"/>
        <v>2999</v>
      </c>
      <c r="O138" s="6" t="str">
        <f t="shared" si="16"/>
        <v>GST Paid</v>
      </c>
      <c r="P138" t="str">
        <f t="shared" si="17"/>
        <v xml:space="preserve">TUGLAKABAD ICD (INTKD6) - Current Que LEO Date EP Copy Print Status DBK Scroll No Scroll Date EGM Integration Status
HIST  08 SEP 2017 00:09  Y  21843/2017  21 SEP 2017 00:09  Y </v>
      </c>
    </row>
    <row r="139" spans="1:16">
      <c r="A139" t="s">
        <v>16</v>
      </c>
      <c r="B139">
        <v>8471397</v>
      </c>
      <c r="C139" t="s">
        <v>598</v>
      </c>
      <c r="D139" t="s">
        <v>619</v>
      </c>
      <c r="E139" t="s">
        <v>620</v>
      </c>
      <c r="F139" t="s">
        <v>621</v>
      </c>
      <c r="G139" t="s">
        <v>39</v>
      </c>
      <c r="H139" t="s">
        <v>622</v>
      </c>
      <c r="I139" t="s">
        <v>433</v>
      </c>
      <c r="J139" s="6" t="str">
        <f t="shared" si="12"/>
        <v>ROSL CLAIMED</v>
      </c>
      <c r="K139" s="6" t="str">
        <f>IF(J139="","",IF(J139="ROSL CLAIMED","ROSL CLAIMED","ROSL NOT CLAIMED"))</f>
        <v>ROSL CLAIMED</v>
      </c>
      <c r="L139" s="8" t="str">
        <f t="shared" si="13"/>
        <v>NULL</v>
      </c>
      <c r="M139" s="6">
        <f t="shared" si="14"/>
        <v>1</v>
      </c>
      <c r="N139" s="9">
        <f t="shared" ca="1" si="15"/>
        <v>2999</v>
      </c>
      <c r="O139" s="6" t="str">
        <f t="shared" si="16"/>
        <v>GST Paid</v>
      </c>
      <c r="P139" t="str">
        <f t="shared" si="17"/>
        <v xml:space="preserve">TUGLAKABAD ICD (INTKD6) - Current Que LEO Date EP Copy Print Status DBK Scroll No Scroll Date EGM Integration Status
HIST  11 SEP 2017 00:09  Y  N.A.  N.A.  Y </v>
      </c>
    </row>
    <row r="140" spans="1:16">
      <c r="A140" t="s">
        <v>16</v>
      </c>
      <c r="B140">
        <v>8483178</v>
      </c>
      <c r="C140" t="s">
        <v>623</v>
      </c>
      <c r="D140" t="s">
        <v>624</v>
      </c>
      <c r="E140" t="s">
        <v>542</v>
      </c>
      <c r="F140" t="s">
        <v>625</v>
      </c>
      <c r="G140" t="s">
        <v>21</v>
      </c>
      <c r="H140" t="s">
        <v>626</v>
      </c>
      <c r="I140" t="s">
        <v>627</v>
      </c>
      <c r="J140" s="6" t="str">
        <f t="shared" si="12"/>
        <v>ROSL NOT CLAIMED</v>
      </c>
      <c r="K140" s="6" t="str">
        <f>IF(J140="","",IF(J140="ROSL CLAIMED","ROSL CLAIMED","ROSL NOT CLAIMED"))</f>
        <v>ROSL NOT CLAIMED</v>
      </c>
      <c r="L140" s="8" t="str">
        <f t="shared" si="13"/>
        <v>064754  FHMPS10</v>
      </c>
      <c r="M140" s="6">
        <f t="shared" si="14"/>
        <v>0</v>
      </c>
      <c r="N140" s="9">
        <f t="shared" ca="1" si="15"/>
        <v>2998</v>
      </c>
      <c r="O140" s="6" t="str">
        <f t="shared" si="16"/>
        <v>GST Paid</v>
      </c>
      <c r="P140" t="str">
        <f t="shared" si="17"/>
        <v xml:space="preserve">TUGLAKABAD ICD (INTKD6) - Current Que LEO Date EP Copy Print Status DBK Scroll No Scroll Date EGM Integration Status
HIST  08 SEP 2017 00:09  Y  21843/2017  21 SEP 2017 00:09  Y </v>
      </c>
    </row>
    <row r="141" spans="1:16">
      <c r="A141" t="s">
        <v>16</v>
      </c>
      <c r="B141">
        <v>8486246</v>
      </c>
      <c r="C141" t="s">
        <v>623</v>
      </c>
      <c r="D141" t="s">
        <v>628</v>
      </c>
      <c r="E141" t="s">
        <v>553</v>
      </c>
      <c r="F141" t="s">
        <v>629</v>
      </c>
      <c r="G141" t="s">
        <v>21</v>
      </c>
      <c r="H141" t="s">
        <v>630</v>
      </c>
      <c r="I141" t="s">
        <v>505</v>
      </c>
      <c r="J141" s="6" t="str">
        <f t="shared" si="12"/>
        <v>ROSL NOT CLAIMED</v>
      </c>
      <c r="K141" s="6" t="str">
        <f>IF(J141="","",IF(J141="ROSL CLAIMED","ROSL CLAIMED","ROSL NOT CLAIMED"))</f>
        <v>ROSL NOT CLAIMED</v>
      </c>
      <c r="L141" s="8" t="str">
        <f t="shared" si="13"/>
        <v>062884  AYZPP59</v>
      </c>
      <c r="M141" s="6">
        <f t="shared" si="14"/>
        <v>0</v>
      </c>
      <c r="N141" s="9">
        <f t="shared" ca="1" si="15"/>
        <v>2998</v>
      </c>
      <c r="O141" s="6" t="str">
        <f t="shared" si="16"/>
        <v>GST Paid</v>
      </c>
      <c r="P141" t="str">
        <f t="shared" si="17"/>
        <v xml:space="preserve">TUGLAKABAD ICD (INTKD6) - Current Que LEO Date EP Copy Print Status DBK Scroll No Scroll Date EGM Integration Status
HIST  07 SEP 2017 00:09  Y  21843/2017  21 SEP 2017 00:09  Y </v>
      </c>
    </row>
    <row r="142" spans="1:16">
      <c r="A142" t="s">
        <v>16</v>
      </c>
      <c r="B142">
        <v>8488643</v>
      </c>
      <c r="C142" t="s">
        <v>623</v>
      </c>
      <c r="D142" t="s">
        <v>631</v>
      </c>
      <c r="E142" t="s">
        <v>632</v>
      </c>
      <c r="F142" t="s">
        <v>633</v>
      </c>
      <c r="G142" t="s">
        <v>634</v>
      </c>
      <c r="H142" t="s">
        <v>635</v>
      </c>
      <c r="I142" t="s">
        <v>636</v>
      </c>
      <c r="J142" s="6" t="str">
        <f t="shared" si="12"/>
        <v>NULL</v>
      </c>
      <c r="K142" s="6" t="str">
        <f>IF(J142="","",IF(J142="ROSL CLAIMED","ROSL CLAIMED","ROSL NOT CLAIMED"))</f>
        <v>ROSL NOT CLAIMED</v>
      </c>
      <c r="L142" s="8" t="str">
        <f t="shared" si="13"/>
        <v>06 SEP 2017 12:</v>
      </c>
      <c r="M142" s="6">
        <f t="shared" si="14"/>
        <v>0</v>
      </c>
      <c r="N142" s="9">
        <f t="shared" ca="1" si="15"/>
        <v>2998</v>
      </c>
      <c r="O142" s="6" t="str">
        <f t="shared" si="16"/>
        <v>GST Paid</v>
      </c>
      <c r="P142" t="str">
        <f t="shared" si="17"/>
        <v xml:space="preserve">TUGLAKABAD ICD (INTKD6) - Current Que LEO Date EP Copy Print Status DBK Scroll No Scroll Date EGM Integration Status
HIST  08 SEP 2017 00:09  Y  24432/2018  25 MAR 2018 00:03  Y </v>
      </c>
    </row>
    <row r="143" spans="1:16">
      <c r="A143" t="s">
        <v>16</v>
      </c>
      <c r="B143">
        <v>8493626</v>
      </c>
      <c r="C143" t="s">
        <v>623</v>
      </c>
      <c r="D143" t="s">
        <v>637</v>
      </c>
      <c r="E143" t="s">
        <v>620</v>
      </c>
      <c r="F143" t="s">
        <v>638</v>
      </c>
      <c r="G143" t="s">
        <v>39</v>
      </c>
      <c r="H143" t="s">
        <v>639</v>
      </c>
      <c r="I143" t="s">
        <v>640</v>
      </c>
      <c r="J143" s="6" t="str">
        <f t="shared" si="12"/>
        <v>ROSL CLAIMED</v>
      </c>
      <c r="K143" s="6" t="str">
        <f>IF(J143="","",IF(J143="ROSL CLAIMED","ROSL CLAIMED","ROSL NOT CLAIMED"))</f>
        <v>ROSL CLAIMED</v>
      </c>
      <c r="L143" s="8" t="str">
        <f t="shared" si="13"/>
        <v>06062  AHDPK897</v>
      </c>
      <c r="M143" s="6">
        <f t="shared" si="14"/>
        <v>1</v>
      </c>
      <c r="N143" s="9">
        <f t="shared" ca="1" si="15"/>
        <v>2998</v>
      </c>
      <c r="O143" s="6" t="str">
        <f t="shared" si="16"/>
        <v>GST Paid</v>
      </c>
      <c r="P143" t="str">
        <f t="shared" si="17"/>
        <v xml:space="preserve">TUGLAKABAD ICD (INTKD6) - Current Que LEO Date EP Copy Print Status DBK Scroll No Scroll Date EGM Integration Status
HIST  11 SEP 2017 00:09  Y  N.A.  N.A.  Y </v>
      </c>
    </row>
    <row r="144" spans="1:16">
      <c r="A144" t="s">
        <v>16</v>
      </c>
      <c r="B144">
        <v>8502112</v>
      </c>
      <c r="C144" t="s">
        <v>641</v>
      </c>
      <c r="D144" t="s">
        <v>642</v>
      </c>
      <c r="E144" t="s">
        <v>643</v>
      </c>
      <c r="F144" t="s">
        <v>644</v>
      </c>
      <c r="G144" t="s">
        <v>21</v>
      </c>
      <c r="H144" t="s">
        <v>645</v>
      </c>
      <c r="I144" t="s">
        <v>252</v>
      </c>
      <c r="J144" s="6" t="str">
        <f t="shared" si="12"/>
        <v>ROSL NOT CLAIMED</v>
      </c>
      <c r="K144" s="6" t="str">
        <f>IF(J144="","",IF(J144="ROSL CLAIMED","ROSL CLAIMED","ROSL NOT CLAIMED"))</f>
        <v>ROSL NOT CLAIMED</v>
      </c>
      <c r="L144" s="8" t="str">
        <f t="shared" si="13"/>
        <v>NULL</v>
      </c>
      <c r="M144" s="6">
        <f t="shared" si="14"/>
        <v>0</v>
      </c>
      <c r="N144" s="9">
        <f t="shared" ca="1" si="15"/>
        <v>2997</v>
      </c>
      <c r="O144" s="6" t="str">
        <f t="shared" si="16"/>
        <v>GST Paid</v>
      </c>
      <c r="P144" t="str">
        <f t="shared" si="17"/>
        <v xml:space="preserve">TUGLAKABAD ICD (INTKD6) - Current Que LEO Date EP Copy Print Status DBK Scroll No Scroll Date EGM Integration Status
HIST  12 SEP 2017 00:09  Y  21843/2017  21 SEP 2017 00:09  Y </v>
      </c>
    </row>
    <row r="145" spans="1:16">
      <c r="A145" t="s">
        <v>16</v>
      </c>
      <c r="B145">
        <v>8513208</v>
      </c>
      <c r="C145" t="s">
        <v>641</v>
      </c>
      <c r="D145" t="s">
        <v>646</v>
      </c>
      <c r="E145" t="s">
        <v>647</v>
      </c>
      <c r="F145" t="s">
        <v>648</v>
      </c>
      <c r="G145" t="s">
        <v>21</v>
      </c>
      <c r="H145" t="s">
        <v>649</v>
      </c>
      <c r="I145" t="s">
        <v>650</v>
      </c>
      <c r="J145" s="6" t="str">
        <f t="shared" si="12"/>
        <v>ROSL NOT CLAIMED</v>
      </c>
      <c r="K145" s="6" t="str">
        <f>IF(J145="","",IF(J145="ROSL CLAIMED","ROSL CLAIMED","ROSL NOT CLAIMED"))</f>
        <v>ROSL NOT CLAIMED</v>
      </c>
      <c r="L145" s="8" t="str">
        <f t="shared" si="13"/>
        <v>NULL</v>
      </c>
      <c r="M145" s="6">
        <f t="shared" si="14"/>
        <v>0</v>
      </c>
      <c r="N145" s="9">
        <f t="shared" ca="1" si="15"/>
        <v>2997</v>
      </c>
      <c r="O145" s="6" t="str">
        <f t="shared" si="16"/>
        <v>GST Paid</v>
      </c>
      <c r="P145" t="str">
        <f t="shared" si="17"/>
        <v xml:space="preserve">TUGLAKABAD ICD (INTKD6) - Current Que LEO Date EP Copy Print Status DBK Scroll No Scroll Date EGM Integration Status
HIST  13 SEP 2017 00:09  Y  22032/2017  06 OCT 2017 00:10  Y </v>
      </c>
    </row>
    <row r="146" spans="1:16">
      <c r="A146" t="s">
        <v>16</v>
      </c>
      <c r="B146">
        <v>8528718</v>
      </c>
      <c r="C146" t="s">
        <v>651</v>
      </c>
      <c r="D146" t="s">
        <v>652</v>
      </c>
      <c r="E146" t="s">
        <v>653</v>
      </c>
      <c r="F146" t="s">
        <v>654</v>
      </c>
      <c r="G146" t="s">
        <v>39</v>
      </c>
      <c r="H146" t="s">
        <v>655</v>
      </c>
      <c r="I146" t="s">
        <v>433</v>
      </c>
      <c r="J146" s="6" t="str">
        <f t="shared" si="12"/>
        <v>ROSL CLAIMED</v>
      </c>
      <c r="K146" s="6" t="str">
        <f>IF(J146="","",IF(J146="ROSL CLAIMED","ROSL CLAIMED","ROSL NOT CLAIMED"))</f>
        <v>ROSL CLAIMED</v>
      </c>
      <c r="L146" s="8" t="str">
        <f t="shared" si="13"/>
        <v>NULL</v>
      </c>
      <c r="M146" s="6">
        <f t="shared" si="14"/>
        <v>1</v>
      </c>
      <c r="N146" s="9">
        <f t="shared" ca="1" si="15"/>
        <v>2996</v>
      </c>
      <c r="O146" s="6" t="str">
        <f t="shared" si="16"/>
        <v>GST Paid</v>
      </c>
      <c r="P146" t="str">
        <f t="shared" si="17"/>
        <v xml:space="preserve">TUGLAKABAD ICD (INTKD6) - Current Que LEO Date EP Copy Print Status DBK Scroll No Scroll Date EGM Integration Status
HIST  14 SEP 2017 00:09  Y  N.A.  N.A.  Y </v>
      </c>
    </row>
    <row r="147" spans="1:16">
      <c r="A147" t="s">
        <v>16</v>
      </c>
      <c r="B147">
        <v>8533887</v>
      </c>
      <c r="C147" t="s">
        <v>651</v>
      </c>
      <c r="D147" t="s">
        <v>656</v>
      </c>
      <c r="E147" t="s">
        <v>643</v>
      </c>
      <c r="F147" t="s">
        <v>657</v>
      </c>
      <c r="G147" t="s">
        <v>21</v>
      </c>
      <c r="H147" t="s">
        <v>658</v>
      </c>
      <c r="I147" t="s">
        <v>659</v>
      </c>
      <c r="J147" s="6" t="str">
        <f t="shared" si="12"/>
        <v>ROSL NOT CLAIMED</v>
      </c>
      <c r="K147" s="6" t="str">
        <f>IF(J147="","",IF(J147="ROSL CLAIMED","ROSL CLAIMED","ROSL NOT CLAIMED"))</f>
        <v>ROSL NOT CLAIMED</v>
      </c>
      <c r="L147" s="8" t="str">
        <f t="shared" si="13"/>
        <v>067872  AAJCA18</v>
      </c>
      <c r="M147" s="6">
        <f t="shared" si="14"/>
        <v>0</v>
      </c>
      <c r="N147" s="9">
        <f t="shared" ca="1" si="15"/>
        <v>2996</v>
      </c>
      <c r="O147" s="6" t="str">
        <f t="shared" si="16"/>
        <v>GST Paid</v>
      </c>
      <c r="P147" t="str">
        <f t="shared" si="17"/>
        <v xml:space="preserve">TUGLAKABAD ICD (INTKD6) - Current Que LEO Date EP Copy Print Status DBK Scroll No Scroll Date EGM Integration Status
HIST  12 SEP 2017 00:09  Y  21843/2017  21 SEP 2017 00:09  Y </v>
      </c>
    </row>
    <row r="148" spans="1:16">
      <c r="A148" t="s">
        <v>16</v>
      </c>
      <c r="B148">
        <v>8551635</v>
      </c>
      <c r="C148" t="s">
        <v>660</v>
      </c>
      <c r="D148" t="s">
        <v>661</v>
      </c>
      <c r="E148" t="s">
        <v>662</v>
      </c>
      <c r="F148" t="s">
        <v>663</v>
      </c>
      <c r="G148" t="s">
        <v>39</v>
      </c>
      <c r="H148" t="s">
        <v>664</v>
      </c>
      <c r="I148" t="s">
        <v>34</v>
      </c>
      <c r="J148" s="6" t="str">
        <f t="shared" si="12"/>
        <v>ROSL CLAIMED</v>
      </c>
      <c r="K148" s="6" t="str">
        <f>IF(J148="","",IF(J148="ROSL CLAIMED","ROSL CLAIMED","ROSL NOT CLAIMED"))</f>
        <v>ROSL CLAIMED</v>
      </c>
      <c r="L148" s="8" t="str">
        <f t="shared" si="13"/>
        <v>NULL</v>
      </c>
      <c r="M148" s="6">
        <f t="shared" si="14"/>
        <v>1</v>
      </c>
      <c r="N148" s="9">
        <f t="shared" ca="1" si="15"/>
        <v>2995</v>
      </c>
      <c r="O148" s="6" t="str">
        <f t="shared" si="16"/>
        <v>GST Paid</v>
      </c>
      <c r="P148" t="str">
        <f t="shared" si="17"/>
        <v xml:space="preserve">TUGLAKABAD ICD (INTKD6) - Current Que LEO Date EP Copy Print Status DBK Scroll No Scroll Date EGM Integration Status
HIST  13 SEP 2017 00:09  Y  N.A.  N.A.  Y </v>
      </c>
    </row>
    <row r="149" spans="1:16">
      <c r="A149" t="s">
        <v>16</v>
      </c>
      <c r="B149">
        <v>8576060</v>
      </c>
      <c r="C149" t="s">
        <v>665</v>
      </c>
      <c r="D149" t="s">
        <v>666</v>
      </c>
      <c r="E149" t="s">
        <v>667</v>
      </c>
      <c r="F149" t="s">
        <v>668</v>
      </c>
      <c r="G149" t="s">
        <v>21</v>
      </c>
      <c r="H149" t="s">
        <v>669</v>
      </c>
      <c r="I149" t="s">
        <v>670</v>
      </c>
      <c r="J149" s="6" t="str">
        <f t="shared" si="12"/>
        <v>ROSL NOT CLAIMED</v>
      </c>
      <c r="K149" s="6" t="str">
        <f>IF(J149="","",IF(J149="ROSL CLAIMED","ROSL CLAIMED","ROSL NOT CLAIMED"))</f>
        <v>ROSL NOT CLAIMED</v>
      </c>
      <c r="L149" s="8" t="str">
        <f t="shared" si="13"/>
        <v>NULL</v>
      </c>
      <c r="M149" s="6">
        <f t="shared" si="14"/>
        <v>0</v>
      </c>
      <c r="N149" s="9">
        <f t="shared" ca="1" si="15"/>
        <v>2993</v>
      </c>
      <c r="O149" s="6" t="str">
        <f t="shared" si="16"/>
        <v>GST Paid</v>
      </c>
      <c r="P149" t="str">
        <f t="shared" si="17"/>
        <v xml:space="preserve">TUGLAKABAD ICD (INTKD6) - Current Que LEO Date EP Copy Print Status DBK Scroll No Scroll Date EGM Integration Status
HIST  13 SEP 2017 00:09  Y  21843/2017  21 SEP 2017 00:09  Y </v>
      </c>
    </row>
    <row r="150" spans="1:16">
      <c r="A150" t="s">
        <v>16</v>
      </c>
      <c r="B150">
        <v>8579468</v>
      </c>
      <c r="C150" t="s">
        <v>665</v>
      </c>
      <c r="D150" t="s">
        <v>671</v>
      </c>
      <c r="E150" t="s">
        <v>672</v>
      </c>
      <c r="F150" t="s">
        <v>673</v>
      </c>
      <c r="G150" t="s">
        <v>21</v>
      </c>
      <c r="H150" t="s">
        <v>674</v>
      </c>
      <c r="I150" t="s">
        <v>675</v>
      </c>
      <c r="J150" s="6" t="str">
        <f t="shared" si="12"/>
        <v>ROSL NOT CLAIMED</v>
      </c>
      <c r="K150" s="6" t="str">
        <f>IF(J150="","",IF(J150="ROSL CLAIMED","ROSL CLAIMED","ROSL NOT CLAIMED"))</f>
        <v>ROSL NOT CLAIMED</v>
      </c>
      <c r="L150" s="8" t="str">
        <f t="shared" si="13"/>
        <v>063.28  0  1876</v>
      </c>
      <c r="M150" s="6">
        <f t="shared" si="14"/>
        <v>0</v>
      </c>
      <c r="N150" s="9">
        <f t="shared" ca="1" si="15"/>
        <v>2993</v>
      </c>
      <c r="O150" s="6" t="str">
        <f t="shared" si="16"/>
        <v>GST Paid</v>
      </c>
      <c r="P150" t="str">
        <f t="shared" si="17"/>
        <v xml:space="preserve">TUGLAKABAD ICD (INTKD6) - Current Que LEO Date EP Copy Print Status DBK Scroll No Scroll Date EGM Integration Status
HIST  14 SEP 2017 00:09  Y  21843/2017  21 SEP 2017 00:09  Y </v>
      </c>
    </row>
    <row r="151" spans="1:16">
      <c r="A151" t="s">
        <v>16</v>
      </c>
      <c r="B151">
        <v>8581999</v>
      </c>
      <c r="C151" t="s">
        <v>665</v>
      </c>
      <c r="D151" t="s">
        <v>676</v>
      </c>
      <c r="E151" t="s">
        <v>677</v>
      </c>
      <c r="F151" t="s">
        <v>678</v>
      </c>
      <c r="G151" t="s">
        <v>21</v>
      </c>
      <c r="H151" t="s">
        <v>679</v>
      </c>
      <c r="I151" t="s">
        <v>680</v>
      </c>
      <c r="J151" s="6" t="str">
        <f t="shared" si="12"/>
        <v>ROSL NOT CLAIMED</v>
      </c>
      <c r="K151" s="6" t="str">
        <f>IF(J151="","",IF(J151="ROSL CLAIMED","ROSL CLAIMED","ROSL NOT CLAIMED"))</f>
        <v>ROSL NOT CLAIMED</v>
      </c>
      <c r="L151" s="8" t="str">
        <f t="shared" si="13"/>
        <v>060291  AABCS28</v>
      </c>
      <c r="M151" s="6">
        <f t="shared" si="14"/>
        <v>0</v>
      </c>
      <c r="N151" s="9">
        <f t="shared" ca="1" si="15"/>
        <v>2993</v>
      </c>
      <c r="O151" s="6" t="str">
        <f t="shared" si="16"/>
        <v>GST Paid</v>
      </c>
      <c r="P151" t="str">
        <f t="shared" si="17"/>
        <v xml:space="preserve">TUGLAKABAD ICD (INTKD6) - Current Que LEO Date EP Copy Print Status DBK Scroll No Scroll Date EGM Integration Status
HIST  15 SEP 2017 00:09  Y  22032/2017  06 OCT 2017 00:10  Y </v>
      </c>
    </row>
    <row r="152" spans="1:16">
      <c r="A152" t="s">
        <v>16</v>
      </c>
      <c r="B152">
        <v>8584007</v>
      </c>
      <c r="C152" t="s">
        <v>665</v>
      </c>
      <c r="D152" t="s">
        <v>681</v>
      </c>
      <c r="E152" t="s">
        <v>682</v>
      </c>
      <c r="F152" t="s">
        <v>663</v>
      </c>
      <c r="G152" t="s">
        <v>21</v>
      </c>
      <c r="H152" t="s">
        <v>683</v>
      </c>
      <c r="I152" t="s">
        <v>684</v>
      </c>
      <c r="J152" s="6" t="str">
        <f t="shared" si="12"/>
        <v>ROSL NOT CLAIMED</v>
      </c>
      <c r="K152" s="6" t="str">
        <f>IF(J152="","",IF(J152="ROSL CLAIMED","ROSL CLAIMED","ROSL NOT CLAIMED"))</f>
        <v>ROSL NOT CLAIMED</v>
      </c>
      <c r="L152" s="8" t="str">
        <f t="shared" si="13"/>
        <v>NULL</v>
      </c>
      <c r="M152" s="6">
        <f t="shared" si="14"/>
        <v>0</v>
      </c>
      <c r="N152" s="9">
        <f t="shared" ca="1" si="15"/>
        <v>2993</v>
      </c>
      <c r="O152" s="6" t="str">
        <f t="shared" si="16"/>
        <v>GST Paid</v>
      </c>
      <c r="P152" t="str">
        <f t="shared" si="17"/>
        <v xml:space="preserve">TUGLAKABAD ICD (INTKD6) - 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 </v>
      </c>
    </row>
    <row r="153" spans="1:16">
      <c r="A153" t="s">
        <v>16</v>
      </c>
      <c r="B153">
        <v>8584704</v>
      </c>
      <c r="C153" t="s">
        <v>665</v>
      </c>
      <c r="D153" t="s">
        <v>685</v>
      </c>
      <c r="E153" t="s">
        <v>570</v>
      </c>
      <c r="F153" t="s">
        <v>686</v>
      </c>
      <c r="G153" t="s">
        <v>39</v>
      </c>
      <c r="H153" t="s">
        <v>687</v>
      </c>
      <c r="I153" t="s">
        <v>688</v>
      </c>
      <c r="J153" s="6" t="str">
        <f t="shared" si="12"/>
        <v>ROSL CLAIMED</v>
      </c>
      <c r="K153" s="6" t="str">
        <f>IF(J153="","",IF(J153="ROSL CLAIMED","ROSL CLAIMED","ROSL NOT CLAIMED"))</f>
        <v>ROSL CLAIMED</v>
      </c>
      <c r="L153" s="8" t="str">
        <f t="shared" si="13"/>
        <v>NULL</v>
      </c>
      <c r="M153" s="6">
        <f t="shared" si="14"/>
        <v>1</v>
      </c>
      <c r="N153" s="9">
        <f t="shared" ca="1" si="15"/>
        <v>2993</v>
      </c>
      <c r="O153" s="6" t="str">
        <f t="shared" si="16"/>
        <v>GST Paid</v>
      </c>
      <c r="P153" t="str">
        <f t="shared" si="17"/>
        <v xml:space="preserve">TUGLAKABAD ICD (INTKD6) - Current Que LEO Date EP Copy Print Status DBK Scroll No Scroll Date EGM Integration Status
HIST  15 SEP 2017 00:09  Y  N.A.  N.A.  Y </v>
      </c>
    </row>
    <row r="154" spans="1:16">
      <c r="A154" t="s">
        <v>16</v>
      </c>
      <c r="B154">
        <v>8600398</v>
      </c>
      <c r="C154" t="s">
        <v>689</v>
      </c>
      <c r="D154" t="s">
        <v>690</v>
      </c>
      <c r="E154" t="s">
        <v>667</v>
      </c>
      <c r="F154" t="s">
        <v>663</v>
      </c>
      <c r="G154" t="s">
        <v>21</v>
      </c>
      <c r="H154" t="s">
        <v>691</v>
      </c>
      <c r="I154" t="s">
        <v>34</v>
      </c>
      <c r="J154" s="6" t="str">
        <f t="shared" si="12"/>
        <v>ROSL NOT CLAIMED</v>
      </c>
      <c r="K154" s="6" t="str">
        <f>IF(J154="","",IF(J154="ROSL CLAIMED","ROSL CLAIMED","ROSL NOT CLAIMED"))</f>
        <v>ROSL NOT CLAIMED</v>
      </c>
      <c r="L154" s="8" t="str">
        <f t="shared" si="13"/>
        <v>06004830  AAJCA</v>
      </c>
      <c r="M154" s="6">
        <f t="shared" si="14"/>
        <v>0</v>
      </c>
      <c r="N154" s="9">
        <f t="shared" ca="1" si="15"/>
        <v>2992</v>
      </c>
      <c r="O154" s="6" t="str">
        <f t="shared" si="16"/>
        <v>GST Paid</v>
      </c>
      <c r="P154" t="str">
        <f t="shared" si="17"/>
        <v xml:space="preserve">TUGLAKABAD ICD (INTKD6) - Current Que LEO Date EP Copy Print Status DBK Scroll No Scroll Date EGM Integration Status
HIST  13 SEP 2017 00:09  Y  21843/2017  21 SEP 2017 00:09  Y </v>
      </c>
    </row>
    <row r="155" spans="1:16">
      <c r="A155" t="s">
        <v>16</v>
      </c>
      <c r="B155">
        <v>8602587</v>
      </c>
      <c r="C155" t="s">
        <v>689</v>
      </c>
      <c r="D155" t="s">
        <v>692</v>
      </c>
      <c r="E155" t="s">
        <v>693</v>
      </c>
      <c r="F155" t="s">
        <v>694</v>
      </c>
      <c r="G155" t="s">
        <v>21</v>
      </c>
      <c r="H155" t="s">
        <v>695</v>
      </c>
      <c r="I155" t="s">
        <v>696</v>
      </c>
      <c r="J155" s="6" t="str">
        <f t="shared" si="12"/>
        <v>ROSL NOT CLAIMED</v>
      </c>
      <c r="K155" s="6" t="str">
        <f>IF(J155="","",IF(J155="ROSL CLAIMED","ROSL CLAIMED","ROSL NOT CLAIMED"))</f>
        <v>ROSL NOT CLAIMED</v>
      </c>
      <c r="L155" s="8" t="str">
        <f t="shared" si="13"/>
        <v>NULL</v>
      </c>
      <c r="M155" s="6">
        <f t="shared" si="14"/>
        <v>0</v>
      </c>
      <c r="N155" s="9">
        <f t="shared" ca="1" si="15"/>
        <v>2992</v>
      </c>
      <c r="O155" s="6" t="str">
        <f t="shared" si="16"/>
        <v>GST Paid</v>
      </c>
      <c r="P155" t="str">
        <f t="shared" si="17"/>
        <v xml:space="preserve">TUGLAKABAD ICD (INTKD6) - Current Que LEO Date EP Copy Print Status DBK Scroll No Scroll Date EGM Integration Status
HIST  14 SEP 2017 00:09  Y  22032/2017  06 OCT 2017 00:10  Y </v>
      </c>
    </row>
    <row r="156" spans="1:16">
      <c r="A156" t="s">
        <v>16</v>
      </c>
      <c r="B156">
        <v>8605254</v>
      </c>
      <c r="C156" t="s">
        <v>689</v>
      </c>
      <c r="D156" t="s">
        <v>697</v>
      </c>
      <c r="E156" t="s">
        <v>653</v>
      </c>
      <c r="F156" t="s">
        <v>698</v>
      </c>
      <c r="G156" t="s">
        <v>39</v>
      </c>
      <c r="H156" t="s">
        <v>699</v>
      </c>
      <c r="I156" t="s">
        <v>700</v>
      </c>
      <c r="J156" s="6" t="str">
        <f t="shared" si="12"/>
        <v>ROSL CLAIMED</v>
      </c>
      <c r="K156" s="6" t="str">
        <f>IF(J156="","",IF(J156="ROSL CLAIMED","ROSL CLAIMED","ROSL NOT CLAIMED"))</f>
        <v>ROSL CLAIMED</v>
      </c>
      <c r="L156" s="8" t="str">
        <f t="shared" si="13"/>
        <v>NULL</v>
      </c>
      <c r="M156" s="6">
        <f t="shared" si="14"/>
        <v>1</v>
      </c>
      <c r="N156" s="9">
        <f t="shared" ca="1" si="15"/>
        <v>2992</v>
      </c>
      <c r="O156" s="6" t="str">
        <f t="shared" si="16"/>
        <v>GST Paid</v>
      </c>
      <c r="P156" t="str">
        <f t="shared" si="17"/>
        <v xml:space="preserve">TUGLAKABAD ICD (INTKD6) - Current Que LEO Date EP Copy Print Status DBK Scroll No Scroll Date EGM Integration Status
HIST  14 SEP 2017 00:09  Y  N.A.  N.A.  Y </v>
      </c>
    </row>
    <row r="157" spans="1:16">
      <c r="A157" t="s">
        <v>16</v>
      </c>
      <c r="B157">
        <v>8607213</v>
      </c>
      <c r="C157" t="s">
        <v>689</v>
      </c>
      <c r="D157" t="s">
        <v>701</v>
      </c>
      <c r="E157" t="s">
        <v>702</v>
      </c>
      <c r="F157" t="s">
        <v>703</v>
      </c>
      <c r="G157" t="s">
        <v>21</v>
      </c>
      <c r="H157" t="s">
        <v>704</v>
      </c>
      <c r="I157" t="s">
        <v>705</v>
      </c>
      <c r="J157" s="6" t="str">
        <f t="shared" si="12"/>
        <v>ROSL NOT CLAIMED</v>
      </c>
      <c r="K157" s="6" t="str">
        <f>IF(J157="","",IF(J157="ROSL CLAIMED","ROSL CLAIMED","ROSL NOT CLAIMED"))</f>
        <v>ROSL NOT CLAIMED</v>
      </c>
      <c r="L157" s="8" t="str">
        <f t="shared" si="13"/>
        <v>06790  12 SEP 2</v>
      </c>
      <c r="M157" s="6">
        <f t="shared" si="14"/>
        <v>0</v>
      </c>
      <c r="N157" s="9">
        <f t="shared" ca="1" si="15"/>
        <v>2992</v>
      </c>
      <c r="O157" s="6" t="str">
        <f t="shared" si="16"/>
        <v>GST Paid</v>
      </c>
      <c r="P157" t="str">
        <f t="shared" si="17"/>
        <v xml:space="preserve">TUGLAKABAD ICD (INTKD6) - Current Que LEO Date EP Copy Print Status DBK Scroll No Scroll Date EGM Integration Status
HIST  21 SEP 2017 00:09  Y  22374/2017  31 OCT 2017 00:10  Y </v>
      </c>
    </row>
    <row r="158" spans="1:16">
      <c r="A158" t="s">
        <v>16</v>
      </c>
      <c r="B158">
        <v>8607674</v>
      </c>
      <c r="C158" t="s">
        <v>689</v>
      </c>
      <c r="D158" t="s">
        <v>706</v>
      </c>
      <c r="E158" t="s">
        <v>707</v>
      </c>
      <c r="F158" t="s">
        <v>708</v>
      </c>
      <c r="G158" t="s">
        <v>21</v>
      </c>
      <c r="H158" t="s">
        <v>709</v>
      </c>
      <c r="I158" t="s">
        <v>34</v>
      </c>
      <c r="J158" s="6" t="str">
        <f t="shared" si="12"/>
        <v>ROSL NOT CLAIMED</v>
      </c>
      <c r="K158" s="6" t="str">
        <f>IF(J158="","",IF(J158="ROSL CLAIMED","ROSL CLAIMED","ROSL NOT CLAIMED"))</f>
        <v>ROSL NOT CLAIMED</v>
      </c>
      <c r="L158" s="8" t="str">
        <f t="shared" si="13"/>
        <v>NULL</v>
      </c>
      <c r="M158" s="6">
        <f t="shared" si="14"/>
        <v>0</v>
      </c>
      <c r="N158" s="9">
        <f t="shared" ca="1" si="15"/>
        <v>2992</v>
      </c>
      <c r="O158" s="6" t="str">
        <f t="shared" si="16"/>
        <v>GST Paid</v>
      </c>
      <c r="P158" t="str">
        <f t="shared" si="17"/>
        <v xml:space="preserve">TUGLAKABAD ICD (INTKD6) - Current Que LEO Date EP Copy Print Status DBK Scroll No Scroll Date EGM Integration Status
HIST  14 SEP 2017 00:09  Y  24432/2018  25 MAR 2018 00:03  Y </v>
      </c>
    </row>
    <row r="159" spans="1:16">
      <c r="A159" t="s">
        <v>16</v>
      </c>
      <c r="B159">
        <v>8608392</v>
      </c>
      <c r="C159" t="s">
        <v>689</v>
      </c>
      <c r="D159" t="s">
        <v>710</v>
      </c>
      <c r="E159" t="s">
        <v>672</v>
      </c>
      <c r="F159" t="s">
        <v>711</v>
      </c>
      <c r="G159" t="s">
        <v>712</v>
      </c>
      <c r="H159" t="s">
        <v>713</v>
      </c>
      <c r="I159" t="s">
        <v>714</v>
      </c>
      <c r="J159" s="6" t="str">
        <f t="shared" si="12"/>
        <v>NULL</v>
      </c>
      <c r="K159" s="6" t="str">
        <f>IF(J159="","",IF(J159="ROSL CLAIMED","ROSL CLAIMED","ROSL NOT CLAIMED"))</f>
        <v>ROSL NOT CLAIMED</v>
      </c>
      <c r="L159" s="8" t="str">
        <f t="shared" si="13"/>
        <v>NULL</v>
      </c>
      <c r="M159" s="6">
        <f t="shared" si="14"/>
        <v>0</v>
      </c>
      <c r="N159" s="9">
        <f t="shared" ca="1" si="15"/>
        <v>2992</v>
      </c>
      <c r="O159" s="6" t="str">
        <f t="shared" si="16"/>
        <v>GST Paid</v>
      </c>
      <c r="P159" t="str">
        <f t="shared" si="17"/>
        <v xml:space="preserve">TUGLAKABAD ICD (INTKD6) - Current Que LEO Date EP Copy Print Status DBK Scroll No Scroll Date EGM Integration Status
HIST  14 SEP 2017 00:09  Y  21843/2017  21 SEP 2017 00:09  Y </v>
      </c>
    </row>
    <row r="160" spans="1:16">
      <c r="A160" t="s">
        <v>16</v>
      </c>
      <c r="B160">
        <v>8608445</v>
      </c>
      <c r="C160" t="s">
        <v>689</v>
      </c>
      <c r="D160" t="s">
        <v>715</v>
      </c>
      <c r="E160" t="s">
        <v>672</v>
      </c>
      <c r="F160" t="s">
        <v>716</v>
      </c>
      <c r="G160" t="s">
        <v>717</v>
      </c>
      <c r="H160" t="s">
        <v>718</v>
      </c>
      <c r="I160" t="s">
        <v>714</v>
      </c>
      <c r="J160" s="6" t="str">
        <f t="shared" si="12"/>
        <v>NULL</v>
      </c>
      <c r="K160" s="6" t="str">
        <f>IF(J160="","",IF(J160="ROSL CLAIMED","ROSL CLAIMED","ROSL NOT CLAIMED"))</f>
        <v>ROSL NOT CLAIMED</v>
      </c>
      <c r="L160" s="8" t="str">
        <f t="shared" si="13"/>
        <v>NULL</v>
      </c>
      <c r="M160" s="6">
        <f t="shared" si="14"/>
        <v>0</v>
      </c>
      <c r="N160" s="9">
        <f t="shared" ca="1" si="15"/>
        <v>2992</v>
      </c>
      <c r="O160" s="6" t="str">
        <f t="shared" si="16"/>
        <v>GST Paid</v>
      </c>
      <c r="P160" t="str">
        <f t="shared" si="17"/>
        <v xml:space="preserve">TUGLAKABAD ICD (INTKD6) - Current Que LEO Date EP Copy Print Status DBK Scroll No Scroll Date EGM Integration Status
HIST  14 SEP 2017 00:09  Y  21843/2017  21 SEP 2017 00:09  Y </v>
      </c>
    </row>
    <row r="161" spans="1:16">
      <c r="A161" t="s">
        <v>16</v>
      </c>
      <c r="B161">
        <v>8608455</v>
      </c>
      <c r="C161" t="s">
        <v>689</v>
      </c>
      <c r="D161" t="s">
        <v>719</v>
      </c>
      <c r="E161" t="s">
        <v>672</v>
      </c>
      <c r="F161" t="s">
        <v>711</v>
      </c>
      <c r="G161" t="s">
        <v>712</v>
      </c>
      <c r="H161" t="s">
        <v>713</v>
      </c>
      <c r="I161" t="s">
        <v>714</v>
      </c>
      <c r="J161" s="6" t="str">
        <f t="shared" si="12"/>
        <v>NULL</v>
      </c>
      <c r="K161" s="6" t="str">
        <f>IF(J161="","",IF(J161="ROSL CLAIMED","ROSL CLAIMED","ROSL NOT CLAIMED"))</f>
        <v>ROSL NOT CLAIMED</v>
      </c>
      <c r="L161" s="8" t="str">
        <f t="shared" si="13"/>
        <v>NULL</v>
      </c>
      <c r="M161" s="6">
        <f t="shared" si="14"/>
        <v>0</v>
      </c>
      <c r="N161" s="9">
        <f t="shared" ca="1" si="15"/>
        <v>2992</v>
      </c>
      <c r="O161" s="6" t="str">
        <f t="shared" si="16"/>
        <v>GST Paid</v>
      </c>
      <c r="P161" t="str">
        <f t="shared" si="17"/>
        <v xml:space="preserve">TUGLAKABAD ICD (INTKD6) - Current Que LEO Date EP Copy Print Status DBK Scroll No Scroll Date EGM Integration Status
HIST  14 SEP 2017 00:09  Y  21843/2017  21 SEP 2017 00:09  Y </v>
      </c>
    </row>
    <row r="162" spans="1:16">
      <c r="A162" t="s">
        <v>16</v>
      </c>
      <c r="B162">
        <v>8608463</v>
      </c>
      <c r="C162" t="s">
        <v>689</v>
      </c>
      <c r="D162" t="s">
        <v>720</v>
      </c>
      <c r="E162" t="s">
        <v>672</v>
      </c>
      <c r="F162" t="s">
        <v>716</v>
      </c>
      <c r="G162" t="s">
        <v>717</v>
      </c>
      <c r="H162" t="s">
        <v>718</v>
      </c>
      <c r="I162" t="s">
        <v>714</v>
      </c>
      <c r="J162" s="6" t="str">
        <f t="shared" si="12"/>
        <v>NULL</v>
      </c>
      <c r="K162" s="6" t="str">
        <f>IF(J162="","",IF(J162="ROSL CLAIMED","ROSL CLAIMED","ROSL NOT CLAIMED"))</f>
        <v>ROSL NOT CLAIMED</v>
      </c>
      <c r="L162" s="8" t="str">
        <f t="shared" si="13"/>
        <v>NULL</v>
      </c>
      <c r="M162" s="6">
        <f t="shared" si="14"/>
        <v>0</v>
      </c>
      <c r="N162" s="9">
        <f t="shared" ca="1" si="15"/>
        <v>2992</v>
      </c>
      <c r="O162" s="6" t="str">
        <f t="shared" si="16"/>
        <v>GST Paid</v>
      </c>
      <c r="P162" t="str">
        <f t="shared" si="17"/>
        <v xml:space="preserve">TUGLAKABAD ICD (INTKD6) - Current Que LEO Date EP Copy Print Status DBK Scroll No Scroll Date EGM Integration Status
HIST  14 SEP 2017 00:09  Y  21843/2017  21 SEP 2017 00:09  Y </v>
      </c>
    </row>
    <row r="163" spans="1:16">
      <c r="A163" t="s">
        <v>16</v>
      </c>
      <c r="B163">
        <v>8608521</v>
      </c>
      <c r="C163" t="s">
        <v>689</v>
      </c>
      <c r="D163" t="s">
        <v>721</v>
      </c>
      <c r="E163" t="s">
        <v>672</v>
      </c>
      <c r="F163" t="s">
        <v>716</v>
      </c>
      <c r="G163" t="s">
        <v>712</v>
      </c>
      <c r="H163" t="s">
        <v>713</v>
      </c>
      <c r="I163" t="s">
        <v>714</v>
      </c>
      <c r="J163" s="6" t="str">
        <f t="shared" si="12"/>
        <v>NULL</v>
      </c>
      <c r="K163" s="6" t="str">
        <f>IF(J163="","",IF(J163="ROSL CLAIMED","ROSL CLAIMED","ROSL NOT CLAIMED"))</f>
        <v>ROSL NOT CLAIMED</v>
      </c>
      <c r="L163" s="8" t="str">
        <f t="shared" si="13"/>
        <v>NULL</v>
      </c>
      <c r="M163" s="6">
        <f t="shared" si="14"/>
        <v>0</v>
      </c>
      <c r="N163" s="9">
        <f t="shared" ca="1" si="15"/>
        <v>2992</v>
      </c>
      <c r="O163" s="6" t="str">
        <f t="shared" si="16"/>
        <v>GST Paid</v>
      </c>
      <c r="P163" t="str">
        <f t="shared" si="17"/>
        <v xml:space="preserve">TUGLAKABAD ICD (INTKD6) - Current Que LEO Date EP Copy Print Status DBK Scroll No Scroll Date EGM Integration Status
HIST  14 SEP 2017 00:09  Y  21843/2017  21 SEP 2017 00:09  Y </v>
      </c>
    </row>
    <row r="164" spans="1:16">
      <c r="A164" t="s">
        <v>16</v>
      </c>
      <c r="B164">
        <v>8610604</v>
      </c>
      <c r="C164" t="s">
        <v>689</v>
      </c>
      <c r="D164" t="s">
        <v>722</v>
      </c>
      <c r="E164" t="s">
        <v>723</v>
      </c>
      <c r="F164" t="s">
        <v>724</v>
      </c>
      <c r="G164" t="s">
        <v>21</v>
      </c>
      <c r="H164" t="s">
        <v>725</v>
      </c>
      <c r="I164" t="s">
        <v>726</v>
      </c>
      <c r="J164" s="6" t="str">
        <f t="shared" si="12"/>
        <v>ROSL NOT CLAIMED</v>
      </c>
      <c r="K164" s="6" t="str">
        <f>IF(J164="","",IF(J164="ROSL CLAIMED","ROSL CLAIMED","ROSL NOT CLAIMED"))</f>
        <v>ROSL NOT CLAIMED</v>
      </c>
      <c r="L164" s="8" t="str">
        <f t="shared" si="13"/>
        <v>06  12 SEP 2017</v>
      </c>
      <c r="M164" s="6">
        <f t="shared" si="14"/>
        <v>0</v>
      </c>
      <c r="N164" s="9">
        <f t="shared" ca="1" si="15"/>
        <v>2992</v>
      </c>
      <c r="O164" s="6" t="str">
        <f t="shared" si="16"/>
        <v>GST Paid</v>
      </c>
      <c r="P164" t="str">
        <f t="shared" si="17"/>
        <v xml:space="preserve">TUGLAKABAD ICD (INTKD6) - Current Que LEO Date EP Copy Print Status DBK Scroll No Scroll Date EGM Integration Status
HIST  18 SEP 2017 00:09  Y  22032/2017  06 OCT 2017 00:10  Y </v>
      </c>
    </row>
    <row r="165" spans="1:16">
      <c r="A165" t="s">
        <v>16</v>
      </c>
      <c r="B165">
        <v>8612296</v>
      </c>
      <c r="C165" t="s">
        <v>689</v>
      </c>
      <c r="D165" t="s">
        <v>727</v>
      </c>
      <c r="E165" t="s">
        <v>653</v>
      </c>
      <c r="F165" t="s">
        <v>728</v>
      </c>
      <c r="G165" t="s">
        <v>39</v>
      </c>
      <c r="H165" t="s">
        <v>729</v>
      </c>
      <c r="I165" t="s">
        <v>684</v>
      </c>
      <c r="J165" s="6" t="str">
        <f t="shared" si="12"/>
        <v>ROSL CLAIMED</v>
      </c>
      <c r="K165" s="6" t="str">
        <f>IF(J165="","",IF(J165="ROSL CLAIMED","ROSL CLAIMED","ROSL NOT CLAIMED"))</f>
        <v>ROSL CLAIMED</v>
      </c>
      <c r="L165" s="8" t="str">
        <f t="shared" si="13"/>
        <v>063865  ARPPK33</v>
      </c>
      <c r="M165" s="6">
        <f t="shared" si="14"/>
        <v>1</v>
      </c>
      <c r="N165" s="9">
        <f t="shared" ca="1" si="15"/>
        <v>2992</v>
      </c>
      <c r="O165" s="6" t="str">
        <f t="shared" si="16"/>
        <v>GST Paid</v>
      </c>
      <c r="P165" t="str">
        <f t="shared" si="17"/>
        <v xml:space="preserve">TUGLAKABAD ICD (INTKD6) - Current Que LEO Date EP Copy Print Status DBK Scroll No Scroll Date EGM Integration Status
HIST  14 SEP 2017 00:09  Y  N.A.  N.A.  Y </v>
      </c>
    </row>
    <row r="166" spans="1:16">
      <c r="A166" t="s">
        <v>16</v>
      </c>
      <c r="B166">
        <v>8615986</v>
      </c>
      <c r="C166" t="s">
        <v>689</v>
      </c>
      <c r="D166" t="s">
        <v>730</v>
      </c>
      <c r="E166" t="s">
        <v>731</v>
      </c>
      <c r="F166" t="s">
        <v>732</v>
      </c>
      <c r="G166" t="s">
        <v>21</v>
      </c>
      <c r="H166" t="s">
        <v>733</v>
      </c>
      <c r="I166" t="s">
        <v>734</v>
      </c>
      <c r="J166" s="6" t="str">
        <f t="shared" si="12"/>
        <v>ROSL NOT CLAIMED</v>
      </c>
      <c r="K166" s="6" t="str">
        <f>IF(J166="","",IF(J166="ROSL CLAIMED","ROSL CLAIMED","ROSL NOT CLAIMED"))</f>
        <v>ROSL NOT CLAIMED</v>
      </c>
      <c r="L166" s="8" t="str">
        <f t="shared" si="13"/>
        <v>NULL</v>
      </c>
      <c r="M166" s="6">
        <f t="shared" si="14"/>
        <v>0</v>
      </c>
      <c r="N166" s="9">
        <f t="shared" ca="1" si="15"/>
        <v>2992</v>
      </c>
      <c r="O166" s="6" t="str">
        <f t="shared" si="16"/>
        <v>GST Paid</v>
      </c>
      <c r="P166" t="str">
        <f t="shared" si="17"/>
        <v xml:space="preserve">TUGLAKABAD ICD (INTKD6) - Current Que LEO Date EP Copy Print Status DBK Scroll No Scroll Date EGM Integration Status
HIST  16 SEP 2017 00:09  Y  22032/2017  06 OCT 2017 00:10  Y </v>
      </c>
    </row>
    <row r="167" spans="1:16">
      <c r="A167" t="s">
        <v>16</v>
      </c>
      <c r="B167">
        <v>8620347</v>
      </c>
      <c r="C167" t="s">
        <v>735</v>
      </c>
      <c r="D167" t="s">
        <v>736</v>
      </c>
      <c r="E167" t="s">
        <v>677</v>
      </c>
      <c r="F167" t="s">
        <v>686</v>
      </c>
      <c r="G167" t="s">
        <v>21</v>
      </c>
      <c r="H167" t="s">
        <v>737</v>
      </c>
      <c r="I167" t="s">
        <v>688</v>
      </c>
      <c r="J167" s="6" t="str">
        <f t="shared" si="12"/>
        <v>ROSL NOT CLAIMED</v>
      </c>
      <c r="K167" s="6" t="str">
        <f>IF(J167="","",IF(J167="ROSL CLAIMED","ROSL CLAIMED","ROSL NOT CLAIMED"))</f>
        <v>ROSL NOT CLAIMED</v>
      </c>
      <c r="L167" s="8" t="str">
        <f t="shared" si="13"/>
        <v>NULL</v>
      </c>
      <c r="M167" s="6">
        <f t="shared" si="14"/>
        <v>0</v>
      </c>
      <c r="N167" s="9">
        <f t="shared" ca="1" si="15"/>
        <v>2991</v>
      </c>
      <c r="O167" s="6" t="str">
        <f t="shared" si="16"/>
        <v>GST Paid</v>
      </c>
      <c r="P167" t="str">
        <f t="shared" si="17"/>
        <v xml:space="preserve">TUGLAKABAD ICD (INTKD6) - Current Que LEO Date EP Copy Print Status DBK Scroll No Scroll Date EGM Integration Status
HIST  15 SEP 2017 00:09  Y  22032/2017  06 OCT 2017 00:10  Y </v>
      </c>
    </row>
    <row r="168" spans="1:16">
      <c r="A168" t="s">
        <v>16</v>
      </c>
      <c r="B168">
        <v>8660236</v>
      </c>
      <c r="C168" t="s">
        <v>738</v>
      </c>
      <c r="D168" t="s">
        <v>739</v>
      </c>
      <c r="E168" t="s">
        <v>740</v>
      </c>
      <c r="F168" t="s">
        <v>741</v>
      </c>
      <c r="G168" t="s">
        <v>21</v>
      </c>
      <c r="H168" t="s">
        <v>742</v>
      </c>
      <c r="I168" t="s">
        <v>743</v>
      </c>
      <c r="J168" s="6" t="str">
        <f t="shared" si="12"/>
        <v>ROSL NOT CLAIMED</v>
      </c>
      <c r="K168" s="6" t="str">
        <f>IF(J168="","",IF(J168="ROSL CLAIMED","ROSL CLAIMED","ROSL NOT CLAIMED"))</f>
        <v>ROSL NOT CLAIMED</v>
      </c>
      <c r="L168" s="8" t="str">
        <f t="shared" si="13"/>
        <v>06062538  AAQPP</v>
      </c>
      <c r="M168" s="6">
        <f t="shared" si="14"/>
        <v>0</v>
      </c>
      <c r="N168" s="9">
        <f t="shared" ca="1" si="15"/>
        <v>2990</v>
      </c>
      <c r="O168" s="6" t="str">
        <f t="shared" si="16"/>
        <v>GST Paid</v>
      </c>
      <c r="P168" t="str">
        <f t="shared" si="17"/>
        <v xml:space="preserve">TUGLAKABAD ICD (INTKD6) - Current Que LEO Date EP Copy Print Status DBK Scroll No Scroll Date EGM Integration Status
HIST  18 SEP 2017 00:09  Y  22137/2017  13 OCT 2017 00:10  Y </v>
      </c>
    </row>
    <row r="169" spans="1:16">
      <c r="A169" t="s">
        <v>16</v>
      </c>
      <c r="B169">
        <v>8661641</v>
      </c>
      <c r="C169" t="s">
        <v>738</v>
      </c>
      <c r="D169" t="s">
        <v>744</v>
      </c>
      <c r="E169" t="s">
        <v>745</v>
      </c>
      <c r="F169" t="s">
        <v>746</v>
      </c>
      <c r="G169" t="s">
        <v>39</v>
      </c>
      <c r="H169" t="s">
        <v>747</v>
      </c>
      <c r="I169" t="s">
        <v>748</v>
      </c>
      <c r="J169" s="6" t="str">
        <f t="shared" si="12"/>
        <v>ROSL CLAIMED</v>
      </c>
      <c r="K169" s="6" t="str">
        <f>IF(J169="","",IF(J169="ROSL CLAIMED","ROSL CLAIMED","ROSL NOT CLAIMED"))</f>
        <v>ROSL CLAIMED</v>
      </c>
      <c r="L169" s="8" t="str">
        <f t="shared" si="13"/>
        <v xml:space="preserve">065307  14 SEP </v>
      </c>
      <c r="M169" s="6">
        <f t="shared" si="14"/>
        <v>1</v>
      </c>
      <c r="N169" s="9">
        <f t="shared" ca="1" si="15"/>
        <v>2990</v>
      </c>
      <c r="O169" s="6" t="str">
        <f t="shared" si="16"/>
        <v>GST Paid</v>
      </c>
      <c r="P169" t="str">
        <f t="shared" si="17"/>
        <v xml:space="preserve">TUGLAKABAD ICD (INTKD6) - Current Que LEO Date EP Copy Print Status DBK Scroll No Scroll Date EGM Integration Status
HIST  16 SEP 2017 00:09  Y  N.A.  N.A.  Y </v>
      </c>
    </row>
    <row r="170" spans="1:16">
      <c r="A170" t="s">
        <v>16</v>
      </c>
      <c r="B170">
        <v>8687607</v>
      </c>
      <c r="C170" t="s">
        <v>749</v>
      </c>
      <c r="D170" t="s">
        <v>750</v>
      </c>
      <c r="E170" t="s">
        <v>751</v>
      </c>
      <c r="F170" t="s">
        <v>752</v>
      </c>
      <c r="G170" t="s">
        <v>21</v>
      </c>
      <c r="H170" t="s">
        <v>753</v>
      </c>
      <c r="I170" t="s">
        <v>754</v>
      </c>
      <c r="J170" s="6" t="str">
        <f t="shared" si="12"/>
        <v>ROSL NOT CLAIMED</v>
      </c>
      <c r="K170" s="6" t="str">
        <f>IF(J170="","",IF(J170="ROSL CLAIMED","ROSL CLAIMED","ROSL NOT CLAIMED"))</f>
        <v>ROSL NOT CLAIMED</v>
      </c>
      <c r="L170" s="8" t="str">
        <f t="shared" si="13"/>
        <v>064011  AVAPS66</v>
      </c>
      <c r="M170" s="6">
        <f t="shared" si="14"/>
        <v>0</v>
      </c>
      <c r="N170" s="9">
        <f t="shared" ca="1" si="15"/>
        <v>2989</v>
      </c>
      <c r="O170" s="6" t="str">
        <f t="shared" si="16"/>
        <v>GST Paid</v>
      </c>
      <c r="P170" t="str">
        <f t="shared" si="17"/>
        <v xml:space="preserve">TUGLAKABAD ICD (INTKD6) - Current Que LEO Date EP Copy Print Status DBK Scroll No Scroll Date EGM Integration Status
HIST  20 SEP 2017 00:09  Y  22137/2017  13 OCT 2017 00:10  Y </v>
      </c>
    </row>
    <row r="171" spans="1:16">
      <c r="A171" t="s">
        <v>16</v>
      </c>
      <c r="B171">
        <v>8697591</v>
      </c>
      <c r="C171" t="s">
        <v>755</v>
      </c>
      <c r="D171" t="s">
        <v>756</v>
      </c>
      <c r="E171" t="s">
        <v>757</v>
      </c>
      <c r="F171" t="s">
        <v>758</v>
      </c>
      <c r="G171" t="s">
        <v>39</v>
      </c>
      <c r="H171" t="s">
        <v>759</v>
      </c>
      <c r="I171" t="s">
        <v>252</v>
      </c>
      <c r="J171" s="6" t="str">
        <f t="shared" si="12"/>
        <v>ROSL CLAIMED</v>
      </c>
      <c r="K171" s="6" t="str">
        <f>IF(J171="","",IF(J171="ROSL CLAIMED","ROSL CLAIMED","ROSL NOT CLAIMED"))</f>
        <v>ROSL CLAIMED</v>
      </c>
      <c r="L171" s="8" t="str">
        <f t="shared" si="13"/>
        <v>NULL</v>
      </c>
      <c r="M171" s="6">
        <f t="shared" si="14"/>
        <v>1</v>
      </c>
      <c r="N171" s="9">
        <f t="shared" ca="1" si="15"/>
        <v>2988</v>
      </c>
      <c r="O171" s="6" t="str">
        <f t="shared" si="16"/>
        <v>GST Paid</v>
      </c>
      <c r="P171" t="str">
        <f t="shared" si="17"/>
        <v xml:space="preserve">TUGLAKABAD ICD (INTKD6) - Current Que LEO Date EP Copy Print Status DBK Scroll No Scroll Date EGM Integration Status
HIST  03 OCT 2017 00:10  Y  N.A.  N.A.  Y </v>
      </c>
    </row>
    <row r="172" spans="1:16">
      <c r="A172" t="s">
        <v>16</v>
      </c>
      <c r="B172">
        <v>8708114</v>
      </c>
      <c r="C172" t="s">
        <v>755</v>
      </c>
      <c r="D172" t="s">
        <v>760</v>
      </c>
      <c r="E172" t="s">
        <v>761</v>
      </c>
      <c r="F172" t="s">
        <v>762</v>
      </c>
      <c r="G172" t="s">
        <v>39</v>
      </c>
      <c r="H172" t="s">
        <v>763</v>
      </c>
      <c r="I172" t="s">
        <v>764</v>
      </c>
      <c r="J172" s="6" t="str">
        <f t="shared" si="12"/>
        <v>ROSL CLAIMED</v>
      </c>
      <c r="K172" s="6" t="str">
        <f>IF(J172="","",IF(J172="ROSL CLAIMED","ROSL CLAIMED","ROSL NOT CLAIMED"))</f>
        <v>ROSL CLAIMED</v>
      </c>
      <c r="L172" s="8" t="str">
        <f t="shared" si="13"/>
        <v xml:space="preserve">06  0  0  0  0 </v>
      </c>
      <c r="M172" s="6">
        <f t="shared" si="14"/>
        <v>1</v>
      </c>
      <c r="N172" s="9">
        <f t="shared" ca="1" si="15"/>
        <v>2988</v>
      </c>
      <c r="O172" s="6" t="str">
        <f t="shared" si="16"/>
        <v>GST Paid</v>
      </c>
      <c r="P172" t="str">
        <f t="shared" si="17"/>
        <v xml:space="preserve">TUGLAKABAD ICD (INTKD6) - Current Que LEO Date EP Copy Print Status DBK Scroll No Scroll Date EGM Integration Status
HIST  19 SEP 2017 00:09  Y  N.A.  N.A.  Y </v>
      </c>
    </row>
    <row r="173" spans="1:16">
      <c r="A173" t="s">
        <v>16</v>
      </c>
      <c r="B173">
        <v>8709897</v>
      </c>
      <c r="C173" t="s">
        <v>755</v>
      </c>
      <c r="D173" t="s">
        <v>765</v>
      </c>
      <c r="E173" t="s">
        <v>766</v>
      </c>
      <c r="F173" t="s">
        <v>767</v>
      </c>
      <c r="G173" t="s">
        <v>21</v>
      </c>
      <c r="H173" t="s">
        <v>768</v>
      </c>
      <c r="I173" t="s">
        <v>769</v>
      </c>
      <c r="J173" s="6" t="str">
        <f t="shared" si="12"/>
        <v>ROSL NOT CLAIMED</v>
      </c>
      <c r="K173" s="6" t="str">
        <f>IF(J173="","",IF(J173="ROSL CLAIMED","ROSL CLAIMED","ROSL NOT CLAIMED"))</f>
        <v>ROSL NOT CLAIMED</v>
      </c>
      <c r="L173" s="8" t="str">
        <f t="shared" si="13"/>
        <v>NULL</v>
      </c>
      <c r="M173" s="6">
        <f t="shared" si="14"/>
        <v>0</v>
      </c>
      <c r="N173" s="9">
        <f t="shared" ca="1" si="15"/>
        <v>2988</v>
      </c>
      <c r="O173" s="6" t="str">
        <f t="shared" si="16"/>
        <v>GST Paid</v>
      </c>
      <c r="P173" t="str">
        <f t="shared" si="17"/>
        <v xml:space="preserve">TUGLAKABAD ICD (INTKD6) - Current Que LEO Date EP Copy Print Status DBK Scroll No Scroll Date EGM Integration Status
HIST  21 SEP 2017 00:09  Y  22137/2017  13 OCT 2017 00:10  Y </v>
      </c>
    </row>
    <row r="174" spans="1:16">
      <c r="A174" t="s">
        <v>16</v>
      </c>
      <c r="B174">
        <v>8749638</v>
      </c>
      <c r="C174" t="s">
        <v>770</v>
      </c>
      <c r="D174" t="s">
        <v>771</v>
      </c>
      <c r="E174" t="s">
        <v>772</v>
      </c>
      <c r="F174" t="s">
        <v>773</v>
      </c>
      <c r="G174" t="s">
        <v>21</v>
      </c>
      <c r="H174" t="s">
        <v>774</v>
      </c>
      <c r="I174" t="s">
        <v>775</v>
      </c>
      <c r="J174" s="6" t="str">
        <f t="shared" si="12"/>
        <v>ROSL NOT CLAIMED</v>
      </c>
      <c r="K174" s="6" t="str">
        <f>IF(J174="","",IF(J174="ROSL CLAIMED","ROSL CLAIMED","ROSL NOT CLAIMED"))</f>
        <v>ROSL NOT CLAIMED</v>
      </c>
      <c r="L174" s="8" t="str">
        <f t="shared" si="13"/>
        <v>067517  AHEPG66</v>
      </c>
      <c r="M174" s="6">
        <f t="shared" si="14"/>
        <v>0</v>
      </c>
      <c r="N174" s="9">
        <f t="shared" ca="1" si="15"/>
        <v>2985</v>
      </c>
      <c r="O174" s="6" t="str">
        <f t="shared" si="16"/>
        <v>GST Paid</v>
      </c>
      <c r="P174" t="str">
        <f t="shared" si="17"/>
        <v xml:space="preserve">TUGLAKABAD ICD (INTKD6) - Current Que LEO Date EP Copy Print Status DBK Scroll No Scroll Date EGM Integration Status
HIST  23 SEP 2017 00:09  Y  22137/2017  13 OCT 2017 00:10  Y </v>
      </c>
    </row>
    <row r="175" spans="1:16" ht="29.25">
      <c r="A175" t="s">
        <v>16</v>
      </c>
      <c r="B175">
        <v>8751355</v>
      </c>
      <c r="C175" t="s">
        <v>770</v>
      </c>
      <c r="D175" t="s">
        <v>776</v>
      </c>
      <c r="E175" t="s">
        <v>777</v>
      </c>
      <c r="F175" t="s">
        <v>778</v>
      </c>
      <c r="G175" s="4" t="s">
        <v>779</v>
      </c>
      <c r="H175" t="s">
        <v>780</v>
      </c>
      <c r="I175" t="s">
        <v>781</v>
      </c>
      <c r="J175" s="6" t="str">
        <f t="shared" si="12"/>
        <v>NULL</v>
      </c>
      <c r="K175" s="6" t="str">
        <f>IF(J175="","",IF(J175="ROSL CLAIMED","ROSL CLAIMED","ROSL NOT CLAIMED"))</f>
        <v>ROSL NOT CLAIMED</v>
      </c>
      <c r="L175" s="8" t="str">
        <f t="shared" si="13"/>
        <v>06JCH001  61614</v>
      </c>
      <c r="M175" s="6">
        <f t="shared" si="14"/>
        <v>0</v>
      </c>
      <c r="N175" s="9">
        <f t="shared" ca="1" si="15"/>
        <v>2985</v>
      </c>
      <c r="O175" s="6" t="str">
        <f t="shared" si="16"/>
        <v>GST Paid</v>
      </c>
      <c r="P175" t="str">
        <f t="shared" si="17"/>
        <v xml:space="preserve">TUGLAKABAD ICD (INTKD6) - Current Que LEO Date EP Copy Print Status DBK Scroll No Scroll Date EGM Integration Status
HIST  21 SEP 2017 00:09  Y  22032/2017  06 OCT 2017 00:10  Y </v>
      </c>
    </row>
    <row r="176" spans="1:16">
      <c r="A176" t="s">
        <v>16</v>
      </c>
      <c r="B176">
        <v>8752612</v>
      </c>
      <c r="C176" t="s">
        <v>770</v>
      </c>
      <c r="D176" t="s">
        <v>782</v>
      </c>
      <c r="E176" t="s">
        <v>783</v>
      </c>
      <c r="F176" t="s">
        <v>784</v>
      </c>
      <c r="G176" t="s">
        <v>21</v>
      </c>
      <c r="H176" t="s">
        <v>785</v>
      </c>
      <c r="I176" t="s">
        <v>786</v>
      </c>
      <c r="J176" s="6" t="str">
        <f t="shared" si="12"/>
        <v>ROSL NOT CLAIMED</v>
      </c>
      <c r="K176" s="6" t="str">
        <f>IF(J176="","",IF(J176="ROSL CLAIMED","ROSL CLAIMED","ROSL NOT CLAIMED"))</f>
        <v>ROSL NOT CLAIMED</v>
      </c>
      <c r="L176" s="8" t="str">
        <f t="shared" si="13"/>
        <v>NULL</v>
      </c>
      <c r="M176" s="6">
        <f t="shared" si="14"/>
        <v>0</v>
      </c>
      <c r="N176" s="9">
        <f t="shared" ca="1" si="15"/>
        <v>2985</v>
      </c>
      <c r="O176" s="6" t="str">
        <f t="shared" si="16"/>
        <v>GST Paid</v>
      </c>
      <c r="P176" t="str">
        <f t="shared" si="17"/>
        <v xml:space="preserve">TUGLAKABAD ICD (INTKD6) - Current Que LEO Date EP Copy Print Status DBK Scroll No Scroll Date EGM Integration Status
HIST  22 SEP 2017 00:09  Y  22137/2017  13 OCT 2017 00:10  Y </v>
      </c>
    </row>
    <row r="177" spans="1:16">
      <c r="A177" t="s">
        <v>16</v>
      </c>
      <c r="B177">
        <v>8752787</v>
      </c>
      <c r="C177" t="s">
        <v>770</v>
      </c>
      <c r="D177" t="s">
        <v>787</v>
      </c>
      <c r="E177" t="s">
        <v>788</v>
      </c>
      <c r="F177" t="s">
        <v>789</v>
      </c>
      <c r="G177" t="s">
        <v>21</v>
      </c>
      <c r="H177" t="s">
        <v>790</v>
      </c>
      <c r="I177" t="s">
        <v>791</v>
      </c>
      <c r="J177" s="6" t="str">
        <f t="shared" si="12"/>
        <v>ROSL NOT CLAIMED</v>
      </c>
      <c r="K177" s="6" t="str">
        <f>IF(J177="","",IF(J177="ROSL CLAIMED","ROSL CLAIMED","ROSL NOT CLAIMED"))</f>
        <v>ROSL NOT CLAIMED</v>
      </c>
      <c r="L177" s="8" t="str">
        <f t="shared" si="13"/>
        <v>NULL</v>
      </c>
      <c r="M177" s="6">
        <f t="shared" si="14"/>
        <v>0</v>
      </c>
      <c r="N177" s="9">
        <f t="shared" ca="1" si="15"/>
        <v>2985</v>
      </c>
      <c r="O177" s="6" t="str">
        <f t="shared" si="16"/>
        <v>GST Paid</v>
      </c>
      <c r="P177" t="str">
        <f t="shared" si="17"/>
        <v xml:space="preserve">TUGLAKABAD ICD (INTKD6) - Current Que LEO Date EP Copy Print Status DBK Scroll No Scroll Date EGM Integration Status
HIST  23 SEP 2017 00:09  Y  22260/2017  24 OCT 2017 00:10  Y </v>
      </c>
    </row>
    <row r="178" spans="1:16">
      <c r="A178" t="s">
        <v>16</v>
      </c>
      <c r="B178">
        <v>8775656</v>
      </c>
      <c r="C178" t="s">
        <v>792</v>
      </c>
      <c r="D178" t="s">
        <v>793</v>
      </c>
      <c r="E178" t="s">
        <v>794</v>
      </c>
      <c r="F178" t="s">
        <v>795</v>
      </c>
      <c r="G178" t="s">
        <v>39</v>
      </c>
      <c r="H178" t="s">
        <v>796</v>
      </c>
      <c r="I178" t="s">
        <v>797</v>
      </c>
      <c r="J178" s="6" t="str">
        <f t="shared" si="12"/>
        <v>ROSL CLAIMED</v>
      </c>
      <c r="K178" s="6" t="str">
        <f>IF(J178="","",IF(J178="ROSL CLAIMED","ROSL CLAIMED","ROSL NOT CLAIMED"))</f>
        <v>ROSL CLAIMED</v>
      </c>
      <c r="L178" s="8" t="str">
        <f t="shared" si="13"/>
        <v>NULL</v>
      </c>
      <c r="M178" s="6">
        <f t="shared" si="14"/>
        <v>1</v>
      </c>
      <c r="N178" s="9">
        <f t="shared" ca="1" si="15"/>
        <v>2984</v>
      </c>
      <c r="O178" s="6" t="str">
        <f t="shared" si="16"/>
        <v>GST Paid</v>
      </c>
      <c r="P178" t="str">
        <f t="shared" si="17"/>
        <v xml:space="preserve">TUGLAKABAD ICD (INTKD6) - Current Que LEO Date EP Copy Print Status DBK Scroll No Scroll Date EGM Integration Status
HIST  25 SEP 2017 00:09  Y  N.A.  N.A.  Y </v>
      </c>
    </row>
    <row r="179" spans="1:16">
      <c r="A179" t="s">
        <v>16</v>
      </c>
      <c r="B179">
        <v>8783035</v>
      </c>
      <c r="C179" t="s">
        <v>792</v>
      </c>
      <c r="D179" t="s">
        <v>798</v>
      </c>
      <c r="E179" t="s">
        <v>799</v>
      </c>
      <c r="F179" t="s">
        <v>800</v>
      </c>
      <c r="G179" t="s">
        <v>21</v>
      </c>
      <c r="H179" t="s">
        <v>801</v>
      </c>
      <c r="I179" t="s">
        <v>252</v>
      </c>
      <c r="J179" s="6" t="str">
        <f t="shared" si="12"/>
        <v>ROSL NOT CLAIMED</v>
      </c>
      <c r="K179" s="6" t="str">
        <f>IF(J179="","",IF(J179="ROSL CLAIMED","ROSL CLAIMED","ROSL NOT CLAIMED"))</f>
        <v>ROSL NOT CLAIMED</v>
      </c>
      <c r="L179" s="8" t="str">
        <f t="shared" si="13"/>
        <v>NULL</v>
      </c>
      <c r="M179" s="6">
        <f t="shared" si="14"/>
        <v>0</v>
      </c>
      <c r="N179" s="9">
        <f t="shared" ca="1" si="15"/>
        <v>2984</v>
      </c>
      <c r="O179" s="6" t="str">
        <f t="shared" si="16"/>
        <v>GST Paid</v>
      </c>
      <c r="P179" t="str">
        <f t="shared" si="17"/>
        <v xml:space="preserve">TUGLAKABAD ICD (INTKD6) - Current Que LEO Date EP Copy Print Status DBK Scroll No Scroll Date EGM Integration Status
HIST  23 SEP 2017 00:09  Y  22528/2017  10 NOV 2017 00:11  Y </v>
      </c>
    </row>
    <row r="180" spans="1:16">
      <c r="A180" t="s">
        <v>16</v>
      </c>
      <c r="B180">
        <v>8784077</v>
      </c>
      <c r="C180" t="s">
        <v>792</v>
      </c>
      <c r="D180" t="s">
        <v>802</v>
      </c>
      <c r="E180" t="s">
        <v>803</v>
      </c>
      <c r="F180" t="s">
        <v>804</v>
      </c>
      <c r="G180" t="s">
        <v>21</v>
      </c>
      <c r="H180" t="s">
        <v>805</v>
      </c>
      <c r="I180" t="s">
        <v>113</v>
      </c>
      <c r="J180" s="6" t="str">
        <f t="shared" si="12"/>
        <v>ROSL NOT CLAIMED</v>
      </c>
      <c r="K180" s="6" t="str">
        <f>IF(J180="","",IF(J180="ROSL CLAIMED","ROSL CLAIMED","ROSL NOT CLAIMED"))</f>
        <v>ROSL NOT CLAIMED</v>
      </c>
      <c r="L180" s="8" t="str">
        <f t="shared" si="13"/>
        <v>NULL</v>
      </c>
      <c r="M180" s="6">
        <f t="shared" si="14"/>
        <v>0</v>
      </c>
      <c r="N180" s="9">
        <f t="shared" ca="1" si="15"/>
        <v>2984</v>
      </c>
      <c r="O180" s="6" t="str">
        <f t="shared" si="16"/>
        <v>GST Paid</v>
      </c>
      <c r="P180" t="str">
        <f t="shared" si="17"/>
        <v xml:space="preserve">TUGLAKABAD ICD (INTKD6) - Current Que LEO Date EP Copy Print Status DBK Scroll No Scroll Date EGM Integration Status
HIST  25 SEP 2017 00:09  Y  22260/2017  24 OCT 2017 00:10  Y </v>
      </c>
    </row>
    <row r="181" spans="1:16">
      <c r="A181" t="s">
        <v>16</v>
      </c>
      <c r="B181">
        <v>8794182</v>
      </c>
      <c r="C181" t="s">
        <v>806</v>
      </c>
      <c r="D181" t="s">
        <v>807</v>
      </c>
      <c r="E181" t="s">
        <v>808</v>
      </c>
      <c r="F181" t="s">
        <v>809</v>
      </c>
      <c r="G181" t="s">
        <v>21</v>
      </c>
      <c r="H181" t="s">
        <v>810</v>
      </c>
      <c r="I181" t="s">
        <v>811</v>
      </c>
      <c r="J181" s="6" t="str">
        <f t="shared" si="12"/>
        <v>ROSL NOT CLAIMED</v>
      </c>
      <c r="K181" s="6" t="str">
        <f>IF(J181="","",IF(J181="ROSL CLAIMED","ROSL CLAIMED","ROSL NOT CLAIMED"))</f>
        <v>ROSL NOT CLAIMED</v>
      </c>
      <c r="L181" s="8" t="str">
        <f t="shared" si="13"/>
        <v>NULL</v>
      </c>
      <c r="M181" s="6">
        <f t="shared" si="14"/>
        <v>0</v>
      </c>
      <c r="N181" s="9">
        <f t="shared" ca="1" si="15"/>
        <v>2983</v>
      </c>
      <c r="O181" s="6" t="str">
        <f t="shared" si="16"/>
        <v>GST Paid</v>
      </c>
      <c r="P181" t="str">
        <f t="shared" si="17"/>
        <v xml:space="preserve">TUGLAKABAD ICD (INTKD6) - Current Que LEO Date EP Copy Print Status DBK Scroll No Scroll Date EGM Integration Status
HIST  22 SEP 2017 00:09  Y  22374/2017  31 OCT 2017 00:10  Y </v>
      </c>
    </row>
    <row r="182" spans="1:16">
      <c r="A182" t="s">
        <v>16</v>
      </c>
      <c r="B182">
        <v>8796298</v>
      </c>
      <c r="C182" t="s">
        <v>806</v>
      </c>
      <c r="D182" t="s">
        <v>812</v>
      </c>
      <c r="E182" t="s">
        <v>813</v>
      </c>
      <c r="F182" t="s">
        <v>814</v>
      </c>
      <c r="G182" t="s">
        <v>39</v>
      </c>
      <c r="H182" t="s">
        <v>815</v>
      </c>
      <c r="I182" t="s">
        <v>816</v>
      </c>
      <c r="J182" s="6" t="str">
        <f t="shared" si="12"/>
        <v>ROSL CLAIMED</v>
      </c>
      <c r="K182" s="6" t="str">
        <f>IF(J182="","",IF(J182="ROSL CLAIMED","ROSL CLAIMED","ROSL NOT CLAIMED"))</f>
        <v>ROSL CLAIMED</v>
      </c>
      <c r="L182" s="8" t="str">
        <f t="shared" si="13"/>
        <v>06LCH002  62097</v>
      </c>
      <c r="M182" s="6">
        <f t="shared" si="14"/>
        <v>1</v>
      </c>
      <c r="N182" s="9">
        <f t="shared" ca="1" si="15"/>
        <v>2983</v>
      </c>
      <c r="O182" s="6" t="str">
        <f t="shared" si="16"/>
        <v>GST Paid</v>
      </c>
      <c r="P182" t="str">
        <f t="shared" si="17"/>
        <v xml:space="preserve">TUGLAKABAD ICD (INTKD6) - Current Que LEO Date EP Copy Print Status DBK Scroll No Scroll Date EGM Integration Status
HIST  26 SEP 2017 00:09  Y  N.A.  N.A.  Y </v>
      </c>
    </row>
    <row r="183" spans="1:16">
      <c r="A183" t="s">
        <v>16</v>
      </c>
      <c r="B183">
        <v>8826748</v>
      </c>
      <c r="C183" t="s">
        <v>817</v>
      </c>
      <c r="D183" t="s">
        <v>818</v>
      </c>
      <c r="E183" t="s">
        <v>819</v>
      </c>
      <c r="F183" t="s">
        <v>820</v>
      </c>
      <c r="G183" t="s">
        <v>21</v>
      </c>
      <c r="H183" t="s">
        <v>821</v>
      </c>
      <c r="I183" t="s">
        <v>822</v>
      </c>
      <c r="J183" s="6" t="str">
        <f t="shared" si="12"/>
        <v>ROSL NOT CLAIMED</v>
      </c>
      <c r="K183" s="6" t="str">
        <f>IF(J183="","",IF(J183="ROSL CLAIMED","ROSL CLAIMED","ROSL NOT CLAIMED"))</f>
        <v>ROSL NOT CLAIMED</v>
      </c>
      <c r="L183" s="8" t="str">
        <f t="shared" si="13"/>
        <v>NULL</v>
      </c>
      <c r="M183" s="6">
        <f t="shared" si="14"/>
        <v>0</v>
      </c>
      <c r="N183" s="9">
        <f t="shared" ca="1" si="15"/>
        <v>2982</v>
      </c>
      <c r="O183" s="6" t="str">
        <f t="shared" si="16"/>
        <v>GST Paid</v>
      </c>
      <c r="P183" t="str">
        <f t="shared" si="17"/>
        <v xml:space="preserve">TUGLAKABAD ICD (INTKD6) - Current Que LEO Date EP Copy Print Status DBK Scroll No Scroll Date EGM Integration Status
HIST  11 OCT 2017 00:10  Y  22374/2017  31 OCT 2017 00:10  Y </v>
      </c>
    </row>
    <row r="184" spans="1:16">
      <c r="A184" t="s">
        <v>16</v>
      </c>
      <c r="B184">
        <v>8848896</v>
      </c>
      <c r="C184" t="s">
        <v>823</v>
      </c>
      <c r="D184" t="s">
        <v>824</v>
      </c>
      <c r="E184" t="s">
        <v>825</v>
      </c>
      <c r="F184" t="s">
        <v>826</v>
      </c>
      <c r="G184" t="s">
        <v>21</v>
      </c>
      <c r="H184" t="s">
        <v>827</v>
      </c>
      <c r="I184" t="s">
        <v>828</v>
      </c>
      <c r="J184" s="6" t="str">
        <f t="shared" si="12"/>
        <v>ROSL NOT CLAIMED</v>
      </c>
      <c r="K184" s="6" t="str">
        <f>IF(J184="","",IF(J184="ROSL CLAIMED","ROSL CLAIMED","ROSL NOT CLAIMED"))</f>
        <v>ROSL NOT CLAIMED</v>
      </c>
      <c r="L184" s="8" t="str">
        <f t="shared" si="13"/>
        <v>064754  FHMPS10</v>
      </c>
      <c r="M184" s="6">
        <f t="shared" si="14"/>
        <v>0</v>
      </c>
      <c r="N184" s="9">
        <f t="shared" ca="1" si="15"/>
        <v>2981</v>
      </c>
      <c r="O184" s="6" t="str">
        <f t="shared" si="16"/>
        <v>GST Paid</v>
      </c>
      <c r="P184" t="str">
        <f t="shared" si="17"/>
        <v xml:space="preserve">TUGLAKABAD ICD (INTKD6) - Current Que LEO Date EP Copy Print Status DBK Scroll No Scroll Date EGM Integration Status
HIST  27 SEP 2017 00:09  Y  22260/2017  24 OCT 2017 00:10  Y </v>
      </c>
    </row>
    <row r="185" spans="1:16">
      <c r="A185" t="s">
        <v>16</v>
      </c>
      <c r="B185">
        <v>8849157</v>
      </c>
      <c r="C185" t="s">
        <v>823</v>
      </c>
      <c r="D185" t="s">
        <v>829</v>
      </c>
      <c r="E185" t="s">
        <v>830</v>
      </c>
      <c r="F185" t="s">
        <v>831</v>
      </c>
      <c r="G185" t="s">
        <v>21</v>
      </c>
      <c r="H185" t="s">
        <v>832</v>
      </c>
      <c r="I185" t="s">
        <v>833</v>
      </c>
      <c r="J185" s="6" t="str">
        <f t="shared" si="12"/>
        <v>ROSL NOT CLAIMED</v>
      </c>
      <c r="K185" s="6" t="str">
        <f>IF(J185="","",IF(J185="ROSL CLAIMED","ROSL CLAIMED","ROSL NOT CLAIMED"))</f>
        <v>ROSL NOT CLAIMED</v>
      </c>
      <c r="L185" s="8" t="str">
        <f t="shared" si="13"/>
        <v>NULL</v>
      </c>
      <c r="M185" s="6">
        <f t="shared" si="14"/>
        <v>0</v>
      </c>
      <c r="N185" s="9">
        <f t="shared" ca="1" si="15"/>
        <v>2981</v>
      </c>
      <c r="O185" s="6" t="str">
        <f t="shared" si="16"/>
        <v>GST Paid</v>
      </c>
      <c r="P185" t="str">
        <f t="shared" si="17"/>
        <v xml:space="preserve">TUGLAKABAD ICD (INTKD6) - Current Que LEO Date EP Copy Print Status DBK Scroll No Scroll Date EGM Integration Status
HIST  28 SEP 2017 00:09  Y  22137/2017  13 OCT 2017 00:10  Y </v>
      </c>
    </row>
    <row r="186" spans="1:16">
      <c r="A186" t="s">
        <v>16</v>
      </c>
      <c r="B186">
        <v>8876829</v>
      </c>
      <c r="C186" t="s">
        <v>834</v>
      </c>
      <c r="D186" t="s">
        <v>835</v>
      </c>
      <c r="E186" t="s">
        <v>836</v>
      </c>
      <c r="F186" t="s">
        <v>837</v>
      </c>
      <c r="G186" t="s">
        <v>21</v>
      </c>
      <c r="H186" t="s">
        <v>838</v>
      </c>
      <c r="I186" t="s">
        <v>839</v>
      </c>
      <c r="J186" s="6" t="str">
        <f t="shared" si="12"/>
        <v>ROSL NOT CLAIMED</v>
      </c>
      <c r="K186" s="6" t="str">
        <f>IF(J186="","",IF(J186="ROSL CLAIMED","ROSL CLAIMED","ROSL NOT CLAIMED"))</f>
        <v>ROSL NOT CLAIMED</v>
      </c>
      <c r="L186" s="8" t="str">
        <f t="shared" si="13"/>
        <v>NULL</v>
      </c>
      <c r="M186" s="6">
        <f t="shared" si="14"/>
        <v>0</v>
      </c>
      <c r="N186" s="9">
        <f t="shared" ca="1" si="15"/>
        <v>2979</v>
      </c>
      <c r="O186" s="6" t="str">
        <f t="shared" si="16"/>
        <v>GST Paid</v>
      </c>
      <c r="P186" t="str">
        <f t="shared" si="17"/>
        <v xml:space="preserve">TUGLAKABAD ICD (INTKD6) - Current Que LEO Date EP Copy Print Status DBK Scroll No Scroll Date EGM Integration Status
HIST  28 SEP 2017 00:09  Y  22260/2017  24 OCT 2017 00:10  Y </v>
      </c>
    </row>
    <row r="187" spans="1:16">
      <c r="A187" t="s">
        <v>16</v>
      </c>
      <c r="B187">
        <v>8876935</v>
      </c>
      <c r="C187" t="s">
        <v>834</v>
      </c>
      <c r="D187" t="s">
        <v>840</v>
      </c>
      <c r="E187" t="s">
        <v>836</v>
      </c>
      <c r="F187" t="s">
        <v>841</v>
      </c>
      <c r="G187" t="s">
        <v>21</v>
      </c>
      <c r="H187" t="s">
        <v>842</v>
      </c>
      <c r="I187" t="s">
        <v>839</v>
      </c>
      <c r="J187" s="6" t="str">
        <f t="shared" si="12"/>
        <v>ROSL NOT CLAIMED</v>
      </c>
      <c r="K187" s="6" t="str">
        <f>IF(J187="","",IF(J187="ROSL CLAIMED","ROSL CLAIMED","ROSL NOT CLAIMED"))</f>
        <v>ROSL NOT CLAIMED</v>
      </c>
      <c r="L187" s="8" t="str">
        <f t="shared" si="13"/>
        <v>NULL</v>
      </c>
      <c r="M187" s="6">
        <f t="shared" si="14"/>
        <v>0</v>
      </c>
      <c r="N187" s="9">
        <f t="shared" ca="1" si="15"/>
        <v>2979</v>
      </c>
      <c r="O187" s="6" t="str">
        <f t="shared" si="16"/>
        <v>GST Paid</v>
      </c>
      <c r="P187" t="str">
        <f t="shared" si="17"/>
        <v xml:space="preserve">TUGLAKABAD ICD (INTKD6) - Current Que LEO Date EP Copy Print Status DBK Scroll No Scroll Date EGM Integration Status
HIST  28 SEP 2017 00:09  Y  22260/2017  24 OCT 2017 00:10  Y </v>
      </c>
    </row>
    <row r="188" spans="1:16">
      <c r="A188" t="s">
        <v>16</v>
      </c>
      <c r="B188">
        <v>8898683</v>
      </c>
      <c r="C188" t="s">
        <v>843</v>
      </c>
      <c r="D188" t="s">
        <v>844</v>
      </c>
      <c r="E188" t="s">
        <v>845</v>
      </c>
      <c r="F188" t="s">
        <v>846</v>
      </c>
      <c r="G188" t="s">
        <v>21</v>
      </c>
      <c r="H188" t="s">
        <v>847</v>
      </c>
      <c r="I188" t="s">
        <v>848</v>
      </c>
      <c r="J188" s="6" t="str">
        <f t="shared" si="12"/>
        <v>ROSL NOT CLAIMED</v>
      </c>
      <c r="K188" s="6" t="str">
        <f>IF(J188="","",IF(J188="ROSL CLAIMED","ROSL CLAIMED","ROSL NOT CLAIMED"))</f>
        <v>ROSL NOT CLAIMED</v>
      </c>
      <c r="L188" s="8" t="str">
        <f t="shared" si="13"/>
        <v xml:space="preserve">064  519395.84 </v>
      </c>
      <c r="M188" s="6">
        <f t="shared" si="14"/>
        <v>0</v>
      </c>
      <c r="N188" s="9">
        <f t="shared" ca="1" si="15"/>
        <v>2978</v>
      </c>
      <c r="O188" s="6" t="str">
        <f t="shared" si="16"/>
        <v>GST Paid</v>
      </c>
      <c r="P188" t="str">
        <f t="shared" si="17"/>
        <v xml:space="preserve">TUGLAKABAD ICD (INTKD6) - Current Que LEO Date EP Copy Print Status DBK Scroll No Scroll Date EGM Integration Status
HIST  29 SEP 2017 00:09  Y  22374/2017  31 OCT 2017 00:10  Y </v>
      </c>
    </row>
    <row r="189" spans="1:16">
      <c r="A189" t="s">
        <v>16</v>
      </c>
      <c r="B189">
        <v>8909116</v>
      </c>
      <c r="C189" t="s">
        <v>843</v>
      </c>
      <c r="D189" t="s">
        <v>849</v>
      </c>
      <c r="E189" t="s">
        <v>850</v>
      </c>
      <c r="F189" t="s">
        <v>851</v>
      </c>
      <c r="G189" t="s">
        <v>852</v>
      </c>
      <c r="H189" t="s">
        <v>853</v>
      </c>
      <c r="I189" t="s">
        <v>854</v>
      </c>
      <c r="J189" s="6" t="str">
        <f t="shared" si="12"/>
        <v>NULL</v>
      </c>
      <c r="K189" s="6" t="str">
        <f>IF(J189="","",IF(J189="ROSL CLAIMED","ROSL CLAIMED","ROSL NOT CLAIMED"))</f>
        <v>ROSL NOT CLAIMED</v>
      </c>
      <c r="L189" s="8" t="str">
        <f t="shared" si="13"/>
        <v>NULL</v>
      </c>
      <c r="M189" s="6">
        <f t="shared" si="14"/>
        <v>0</v>
      </c>
      <c r="N189" s="9">
        <f t="shared" ca="1" si="15"/>
        <v>2978</v>
      </c>
      <c r="O189" s="6" t="str">
        <f t="shared" si="16"/>
        <v>GST Paid</v>
      </c>
      <c r="P189" t="str">
        <f t="shared" si="17"/>
        <v xml:space="preserve">TUGLAKABAD ICD (INTKD6) - Current Que LEO Date EP Copy Print Status DBK Scroll No Scroll Date EGM Integration Status
HIST  29 SEP 2017 00:09  Y  22528/2017  10 NOV 2017 00:11  Y </v>
      </c>
    </row>
    <row r="190" spans="1:16">
      <c r="A190" t="s">
        <v>16</v>
      </c>
      <c r="B190">
        <v>8909119</v>
      </c>
      <c r="C190" t="s">
        <v>843</v>
      </c>
      <c r="D190" t="s">
        <v>855</v>
      </c>
      <c r="E190" t="s">
        <v>850</v>
      </c>
      <c r="F190" t="s">
        <v>851</v>
      </c>
      <c r="G190" t="s">
        <v>856</v>
      </c>
      <c r="H190" t="s">
        <v>857</v>
      </c>
      <c r="I190" t="s">
        <v>854</v>
      </c>
      <c r="J190" s="6" t="str">
        <f t="shared" si="12"/>
        <v>NULL</v>
      </c>
      <c r="K190" s="6" t="str">
        <f>IF(J190="","",IF(J190="ROSL CLAIMED","ROSL CLAIMED","ROSL NOT CLAIMED"))</f>
        <v>ROSL NOT CLAIMED</v>
      </c>
      <c r="L190" s="8" t="str">
        <f t="shared" si="13"/>
        <v>NULL</v>
      </c>
      <c r="M190" s="6">
        <f t="shared" si="14"/>
        <v>0</v>
      </c>
      <c r="N190" s="9">
        <f t="shared" ca="1" si="15"/>
        <v>2978</v>
      </c>
      <c r="O190" s="6" t="str">
        <f t="shared" si="16"/>
        <v>GST Paid</v>
      </c>
      <c r="P190" t="str">
        <f t="shared" si="17"/>
        <v xml:space="preserve">TUGLAKABAD ICD (INTKD6) - Current Que LEO Date EP Copy Print Status DBK Scroll No Scroll Date EGM Integration Status
HIST  29 SEP 2017 00:09  Y  22528/2017  10 NOV 2017 00:11  Y </v>
      </c>
    </row>
    <row r="191" spans="1:16">
      <c r="A191" t="s">
        <v>16</v>
      </c>
      <c r="B191">
        <v>8909141</v>
      </c>
      <c r="C191" t="s">
        <v>843</v>
      </c>
      <c r="D191" t="s">
        <v>858</v>
      </c>
      <c r="E191" t="s">
        <v>850</v>
      </c>
      <c r="F191" t="s">
        <v>851</v>
      </c>
      <c r="G191" t="s">
        <v>852</v>
      </c>
      <c r="H191" t="s">
        <v>853</v>
      </c>
      <c r="I191" t="s">
        <v>854</v>
      </c>
      <c r="J191" s="6" t="str">
        <f t="shared" si="12"/>
        <v>NULL</v>
      </c>
      <c r="K191" s="6" t="str">
        <f>IF(J191="","",IF(J191="ROSL CLAIMED","ROSL CLAIMED","ROSL NOT CLAIMED"))</f>
        <v>ROSL NOT CLAIMED</v>
      </c>
      <c r="L191" s="8" t="str">
        <f t="shared" si="13"/>
        <v>NULL</v>
      </c>
      <c r="M191" s="6">
        <f t="shared" si="14"/>
        <v>0</v>
      </c>
      <c r="N191" s="9">
        <f t="shared" ca="1" si="15"/>
        <v>2978</v>
      </c>
      <c r="O191" s="6" t="str">
        <f t="shared" si="16"/>
        <v>GST Paid</v>
      </c>
      <c r="P191" t="str">
        <f t="shared" si="17"/>
        <v xml:space="preserve">TUGLAKABAD ICD (INTKD6) - Current Que LEO Date EP Copy Print Status DBK Scroll No Scroll Date EGM Integration Status
HIST  29 SEP 2017 00:09  Y  22528/2017  10 NOV 2017 00:11  Y </v>
      </c>
    </row>
    <row r="192" spans="1:16">
      <c r="A192" t="s">
        <v>16</v>
      </c>
      <c r="B192">
        <v>8909143</v>
      </c>
      <c r="C192" t="s">
        <v>843</v>
      </c>
      <c r="D192" t="s">
        <v>859</v>
      </c>
      <c r="E192" t="s">
        <v>850</v>
      </c>
      <c r="F192" t="s">
        <v>851</v>
      </c>
      <c r="G192" t="s">
        <v>852</v>
      </c>
      <c r="H192" t="s">
        <v>853</v>
      </c>
      <c r="I192" t="s">
        <v>854</v>
      </c>
      <c r="J192" s="6" t="str">
        <f t="shared" si="12"/>
        <v>NULL</v>
      </c>
      <c r="K192" s="6" t="str">
        <f>IF(J192="","",IF(J192="ROSL CLAIMED","ROSL CLAIMED","ROSL NOT CLAIMED"))</f>
        <v>ROSL NOT CLAIMED</v>
      </c>
      <c r="L192" s="8" t="str">
        <f t="shared" si="13"/>
        <v>NULL</v>
      </c>
      <c r="M192" s="6">
        <f t="shared" si="14"/>
        <v>0</v>
      </c>
      <c r="N192" s="9">
        <f t="shared" ca="1" si="15"/>
        <v>2978</v>
      </c>
      <c r="O192" s="6" t="str">
        <f t="shared" si="16"/>
        <v>GST Paid</v>
      </c>
      <c r="P192" t="str">
        <f t="shared" si="17"/>
        <v xml:space="preserve">TUGLAKABAD ICD (INTKD6) - Current Que LEO Date EP Copy Print Status DBK Scroll No Scroll Date EGM Integration Status
HIST  29 SEP 2017 00:09  Y  22528/2017  10 NOV 2017 00:11  Y </v>
      </c>
    </row>
    <row r="193" spans="1:16">
      <c r="A193" t="s">
        <v>16</v>
      </c>
      <c r="B193">
        <v>8909148</v>
      </c>
      <c r="C193" t="s">
        <v>843</v>
      </c>
      <c r="D193" t="s">
        <v>860</v>
      </c>
      <c r="E193" t="s">
        <v>850</v>
      </c>
      <c r="F193" t="s">
        <v>851</v>
      </c>
      <c r="G193" t="s">
        <v>861</v>
      </c>
      <c r="H193" t="s">
        <v>862</v>
      </c>
      <c r="I193" t="s">
        <v>854</v>
      </c>
      <c r="J193" s="6" t="str">
        <f t="shared" si="12"/>
        <v>NULL</v>
      </c>
      <c r="K193" s="6" t="str">
        <f>IF(J193="","",IF(J193="ROSL CLAIMED","ROSL CLAIMED","ROSL NOT CLAIMED"))</f>
        <v>ROSL NOT CLAIMED</v>
      </c>
      <c r="L193" s="8" t="str">
        <f t="shared" si="13"/>
        <v>NULL</v>
      </c>
      <c r="M193" s="6">
        <f t="shared" si="14"/>
        <v>0</v>
      </c>
      <c r="N193" s="9">
        <f t="shared" ca="1" si="15"/>
        <v>2978</v>
      </c>
      <c r="O193" s="6" t="str">
        <f t="shared" si="16"/>
        <v>GST Paid</v>
      </c>
      <c r="P193" t="str">
        <f t="shared" si="17"/>
        <v xml:space="preserve">TUGLAKABAD ICD (INTKD6) - Current Que LEO Date EP Copy Print Status DBK Scroll No Scroll Date EGM Integration Status
HIST  29 SEP 2017 00:09  Y  22528/2017  10 NOV 2017 00:11  Y </v>
      </c>
    </row>
    <row r="194" spans="1:16">
      <c r="A194" t="s">
        <v>16</v>
      </c>
      <c r="B194">
        <v>8910761</v>
      </c>
      <c r="C194" t="s">
        <v>843</v>
      </c>
      <c r="D194" t="s">
        <v>863</v>
      </c>
      <c r="E194" t="s">
        <v>850</v>
      </c>
      <c r="F194" t="s">
        <v>851</v>
      </c>
      <c r="G194" t="s">
        <v>852</v>
      </c>
      <c r="H194" t="s">
        <v>853</v>
      </c>
      <c r="I194" t="s">
        <v>854</v>
      </c>
      <c r="J194" s="6" t="str">
        <f t="shared" si="12"/>
        <v>NULL</v>
      </c>
      <c r="K194" s="6" t="str">
        <f>IF(J194="","",IF(J194="ROSL CLAIMED","ROSL CLAIMED","ROSL NOT CLAIMED"))</f>
        <v>ROSL NOT CLAIMED</v>
      </c>
      <c r="L194" s="8" t="str">
        <f t="shared" si="13"/>
        <v>NULL</v>
      </c>
      <c r="M194" s="6">
        <f t="shared" si="14"/>
        <v>0</v>
      </c>
      <c r="N194" s="9">
        <f t="shared" ca="1" si="15"/>
        <v>2978</v>
      </c>
      <c r="O194" s="6" t="str">
        <f t="shared" si="16"/>
        <v>GST Paid</v>
      </c>
      <c r="P194" t="str">
        <f t="shared" si="17"/>
        <v xml:space="preserve">TUGLAKABAD ICD (INTKD6) - Current Que LEO Date EP Copy Print Status DBK Scroll No Scroll Date EGM Integration Status
HIST  29 SEP 2017 00:09  Y  22528/2017  10 NOV 2017 00:11  Y </v>
      </c>
    </row>
    <row r="195" spans="1:16">
      <c r="A195" t="s">
        <v>16</v>
      </c>
      <c r="B195">
        <v>8913772</v>
      </c>
      <c r="C195" t="s">
        <v>843</v>
      </c>
      <c r="D195" t="s">
        <v>864</v>
      </c>
      <c r="E195" t="s">
        <v>865</v>
      </c>
      <c r="F195" t="s">
        <v>866</v>
      </c>
      <c r="G195" t="s">
        <v>39</v>
      </c>
      <c r="H195" t="s">
        <v>867</v>
      </c>
      <c r="I195" t="s">
        <v>868</v>
      </c>
      <c r="J195" s="6" t="str">
        <f t="shared" ref="J195:J258" si="18">IF(ISNUMBER(SEARCH("NULL",G195)),"ROSL CLAIMED",
IF(ISNUMBER(SEARCH("ROSL NOT CLAIMED",G195)),"ROSL NOT CLAIMED","NULL"))</f>
        <v>ROSL CLAIMED</v>
      </c>
      <c r="K195" s="6" t="str">
        <f>IF(J195="","",IF(J195="ROSL CLAIMED","ROSL CLAIMED","ROSL NOT CLAIMED"))</f>
        <v>ROSL CLAIMED</v>
      </c>
      <c r="L195" s="8" t="str">
        <f t="shared" ref="L195:L258" si="19">IFERROR(MID(D195, SEARCH("06", D195), 15), "NULL")</f>
        <v>NULL</v>
      </c>
      <c r="M195" s="6">
        <f t="shared" ref="M195:M258" si="20">IF(K195="","",IF(K195="ROSL CLAIMED",1,IF(K195="ROSL NOT CLAIMED",0,"")))</f>
        <v>1</v>
      </c>
      <c r="N195" s="9">
        <f t="shared" ref="N195:N258" ca="1" si="21">IF(C195&lt;&gt;"", TODAY()-C195, "")</f>
        <v>2978</v>
      </c>
      <c r="O195" s="6" t="str">
        <f t="shared" ref="O195:O258" si="22">IF(H195=0,"Missing GST", IF(H195&gt;0,"GST Paid",""))</f>
        <v>GST Paid</v>
      </c>
      <c r="P195" t="str">
        <f t="shared" ref="P195:P258" si="23">CONCATENATE(A195," - ",E195)</f>
        <v xml:space="preserve">TUGLAKABAD ICD (INTKD6) - Current Que LEO Date EP Copy Print Status DBK Scroll No Scroll Date EGM Integration Status
HIST  04 OCT 2017 00:10  Y  N.A.  N.A.  Y </v>
      </c>
    </row>
    <row r="196" spans="1:16">
      <c r="A196" t="s">
        <v>16</v>
      </c>
      <c r="B196">
        <v>8937407</v>
      </c>
      <c r="C196" t="s">
        <v>869</v>
      </c>
      <c r="D196" t="s">
        <v>870</v>
      </c>
      <c r="E196" t="s">
        <v>871</v>
      </c>
      <c r="F196" t="s">
        <v>872</v>
      </c>
      <c r="G196" t="s">
        <v>21</v>
      </c>
      <c r="H196" t="s">
        <v>873</v>
      </c>
      <c r="I196" t="s">
        <v>874</v>
      </c>
      <c r="J196" s="6" t="str">
        <f t="shared" si="18"/>
        <v>ROSL NOT CLAIMED</v>
      </c>
      <c r="K196" s="6" t="str">
        <f>IF(J196="","",IF(J196="ROSL CLAIMED","ROSL CLAIMED","ROSL NOT CLAIMED"))</f>
        <v>ROSL NOT CLAIMED</v>
      </c>
      <c r="L196" s="8" t="str">
        <f t="shared" si="19"/>
        <v>0604  27 SEP 20</v>
      </c>
      <c r="M196" s="6">
        <f t="shared" si="20"/>
        <v>0</v>
      </c>
      <c r="N196" s="9">
        <f t="shared" ca="1" si="21"/>
        <v>2977</v>
      </c>
      <c r="O196" s="6" t="str">
        <f t="shared" si="22"/>
        <v>GST Paid</v>
      </c>
      <c r="P196" t="str">
        <f t="shared" si="23"/>
        <v xml:space="preserve">TUGLAKABAD ICD (INTKD6) - Current Que LEO Date EP Copy Print Status DBK Scroll No Scroll Date EGM Integration Status
HIST  04 OCT 2017 00:10  Y  22260/2017  24 OCT 2017 00:10  Y </v>
      </c>
    </row>
    <row r="197" spans="1:16">
      <c r="A197" t="s">
        <v>16</v>
      </c>
      <c r="B197">
        <v>8942181</v>
      </c>
      <c r="C197" t="s">
        <v>869</v>
      </c>
      <c r="D197" t="s">
        <v>875</v>
      </c>
      <c r="E197" t="s">
        <v>757</v>
      </c>
      <c r="F197" t="s">
        <v>876</v>
      </c>
      <c r="G197" t="s">
        <v>39</v>
      </c>
      <c r="H197" t="s">
        <v>877</v>
      </c>
      <c r="I197" t="s">
        <v>878</v>
      </c>
      <c r="J197" s="6" t="str">
        <f t="shared" si="18"/>
        <v>ROSL CLAIMED</v>
      </c>
      <c r="K197" s="6" t="str">
        <f>IF(J197="","",IF(J197="ROSL CLAIMED","ROSL CLAIMED","ROSL NOT CLAIMED"))</f>
        <v>ROSL CLAIMED</v>
      </c>
      <c r="L197" s="8" t="str">
        <f t="shared" si="19"/>
        <v>06  AQBPK4529MC</v>
      </c>
      <c r="M197" s="6">
        <f t="shared" si="20"/>
        <v>1</v>
      </c>
      <c r="N197" s="9">
        <f t="shared" ca="1" si="21"/>
        <v>2977</v>
      </c>
      <c r="O197" s="6" t="str">
        <f t="shared" si="22"/>
        <v>GST Paid</v>
      </c>
      <c r="P197" t="str">
        <f t="shared" si="23"/>
        <v xml:space="preserve">TUGLAKABAD ICD (INTKD6) - Current Que LEO Date EP Copy Print Status DBK Scroll No Scroll Date EGM Integration Status
HIST  03 OCT 2017 00:10  Y  N.A.  N.A.  Y </v>
      </c>
    </row>
    <row r="198" spans="1:16">
      <c r="A198" t="s">
        <v>16</v>
      </c>
      <c r="B198">
        <v>8942185</v>
      </c>
      <c r="C198" t="s">
        <v>869</v>
      </c>
      <c r="D198" t="s">
        <v>879</v>
      </c>
      <c r="E198" t="s">
        <v>757</v>
      </c>
      <c r="F198" t="s">
        <v>880</v>
      </c>
      <c r="G198" t="s">
        <v>39</v>
      </c>
      <c r="H198" t="s">
        <v>881</v>
      </c>
      <c r="I198" t="s">
        <v>878</v>
      </c>
      <c r="J198" s="6" t="str">
        <f t="shared" si="18"/>
        <v>ROSL CLAIMED</v>
      </c>
      <c r="K198" s="6" t="str">
        <f>IF(J198="","",IF(J198="ROSL CLAIMED","ROSL CLAIMED","ROSL NOT CLAIMED"))</f>
        <v>ROSL CLAIMED</v>
      </c>
      <c r="L198" s="8" t="str">
        <f t="shared" si="19"/>
        <v>06  AQBPK4529MC</v>
      </c>
      <c r="M198" s="6">
        <f t="shared" si="20"/>
        <v>1</v>
      </c>
      <c r="N198" s="9">
        <f t="shared" ca="1" si="21"/>
        <v>2977</v>
      </c>
      <c r="O198" s="6" t="str">
        <f t="shared" si="22"/>
        <v>GST Paid</v>
      </c>
      <c r="P198" t="str">
        <f t="shared" si="23"/>
        <v xml:space="preserve">TUGLAKABAD ICD (INTKD6) - Current Que LEO Date EP Copy Print Status DBK Scroll No Scroll Date EGM Integration Status
HIST  03 OCT 2017 00:10  Y  N.A.  N.A.  Y </v>
      </c>
    </row>
    <row r="199" spans="1:16">
      <c r="A199" t="s">
        <v>16</v>
      </c>
      <c r="B199">
        <v>8961510</v>
      </c>
      <c r="C199" t="s">
        <v>882</v>
      </c>
      <c r="D199" t="s">
        <v>883</v>
      </c>
      <c r="E199" t="s">
        <v>884</v>
      </c>
      <c r="F199" t="s">
        <v>885</v>
      </c>
      <c r="G199" t="s">
        <v>886</v>
      </c>
      <c r="H199" t="s">
        <v>887</v>
      </c>
      <c r="I199" t="s">
        <v>888</v>
      </c>
      <c r="J199" s="6" t="str">
        <f t="shared" si="18"/>
        <v>NULL</v>
      </c>
      <c r="K199" s="6" t="str">
        <f>IF(J199="","",IF(J199="ROSL CLAIMED","ROSL CLAIMED","ROSL NOT CLAIMED"))</f>
        <v>ROSL NOT CLAIMED</v>
      </c>
      <c r="L199" s="8" t="str">
        <f t="shared" si="19"/>
        <v>NULL</v>
      </c>
      <c r="M199" s="6">
        <f t="shared" si="20"/>
        <v>0</v>
      </c>
      <c r="N199" s="9">
        <f t="shared" ca="1" si="21"/>
        <v>2976</v>
      </c>
      <c r="O199" s="6" t="str">
        <f t="shared" si="22"/>
        <v>GST Paid</v>
      </c>
      <c r="P199" t="str">
        <f t="shared" si="23"/>
        <v xml:space="preserve">TUGLAKABAD ICD (INTKD6) - Current Que LEO Date EP Copy Print Status DBK Scroll No Scroll Date EGM Integration Status
HIST  29 SEP 2017 00:09  Y  22260/2017  24 OCT 2017 00:10  Y </v>
      </c>
    </row>
    <row r="200" spans="1:16">
      <c r="A200" t="s">
        <v>16</v>
      </c>
      <c r="B200">
        <v>8961708</v>
      </c>
      <c r="C200" t="s">
        <v>882</v>
      </c>
      <c r="D200" t="s">
        <v>889</v>
      </c>
      <c r="E200" t="s">
        <v>890</v>
      </c>
      <c r="F200" t="s">
        <v>891</v>
      </c>
      <c r="G200" t="s">
        <v>21</v>
      </c>
      <c r="H200" t="s">
        <v>892</v>
      </c>
      <c r="I200" t="s">
        <v>893</v>
      </c>
      <c r="J200" s="6" t="str">
        <f t="shared" si="18"/>
        <v>ROSL NOT CLAIMED</v>
      </c>
      <c r="K200" s="6" t="str">
        <f>IF(J200="","",IF(J200="ROSL CLAIMED","ROSL CLAIMED","ROSL NOT CLAIMED"))</f>
        <v>ROSL NOT CLAIMED</v>
      </c>
      <c r="L200" s="8" t="str">
        <f t="shared" si="19"/>
        <v>NULL</v>
      </c>
      <c r="M200" s="6">
        <f t="shared" si="20"/>
        <v>0</v>
      </c>
      <c r="N200" s="9">
        <f t="shared" ca="1" si="21"/>
        <v>2976</v>
      </c>
      <c r="O200" s="6" t="str">
        <f t="shared" si="22"/>
        <v>GST Paid</v>
      </c>
      <c r="P200" t="str">
        <f t="shared" si="23"/>
        <v xml:space="preserve">TUGLAKABAD ICD (INTKD6) - Current Que LEO Date EP Copy Print Status DBK Scroll No Scroll Date EGM Integration Status
HIST  06 OCT 2017 00:10  Y  22374/2017  31 OCT 2017 00:10  Y </v>
      </c>
    </row>
    <row r="201" spans="1:16">
      <c r="A201" t="s">
        <v>16</v>
      </c>
      <c r="B201">
        <v>8964619</v>
      </c>
      <c r="C201" t="s">
        <v>882</v>
      </c>
      <c r="D201" t="s">
        <v>894</v>
      </c>
      <c r="E201" t="s">
        <v>895</v>
      </c>
      <c r="F201" t="s">
        <v>896</v>
      </c>
      <c r="G201" t="s">
        <v>21</v>
      </c>
      <c r="H201" t="s">
        <v>897</v>
      </c>
      <c r="I201" t="s">
        <v>34</v>
      </c>
      <c r="J201" s="6" t="str">
        <f t="shared" si="18"/>
        <v>ROSL NOT CLAIMED</v>
      </c>
      <c r="K201" s="6" t="str">
        <f>IF(J201="","",IF(J201="ROSL CLAIMED","ROSL CLAIMED","ROSL NOT CLAIMED"))</f>
        <v>ROSL NOT CLAIMED</v>
      </c>
      <c r="L201" s="8" t="str">
        <f t="shared" si="19"/>
        <v>06LCH002  63897</v>
      </c>
      <c r="M201" s="6">
        <f t="shared" si="20"/>
        <v>0</v>
      </c>
      <c r="N201" s="9">
        <f t="shared" ca="1" si="21"/>
        <v>2976</v>
      </c>
      <c r="O201" s="6" t="str">
        <f t="shared" si="22"/>
        <v>GST Paid</v>
      </c>
      <c r="P201" t="str">
        <f t="shared" si="23"/>
        <v xml:space="preserve">TUGLAKABAD ICD (INTKD6) - Current Que LEO Date EP Copy Print Status DBK Scroll No Scroll Date EGM Integration Status
HIST  06 OCT 2017 00:10  Y  22260/2017  24 OCT 2017 00:10  Y </v>
      </c>
    </row>
    <row r="202" spans="1:16">
      <c r="A202" t="s">
        <v>16</v>
      </c>
      <c r="B202">
        <v>8966600</v>
      </c>
      <c r="C202" t="s">
        <v>882</v>
      </c>
      <c r="D202" t="s">
        <v>898</v>
      </c>
      <c r="E202" t="s">
        <v>899</v>
      </c>
      <c r="F202" t="s">
        <v>891</v>
      </c>
      <c r="G202" t="s">
        <v>21</v>
      </c>
      <c r="H202" t="s">
        <v>900</v>
      </c>
      <c r="I202" t="s">
        <v>893</v>
      </c>
      <c r="J202" s="6" t="str">
        <f t="shared" si="18"/>
        <v>ROSL NOT CLAIMED</v>
      </c>
      <c r="K202" s="6" t="str">
        <f>IF(J202="","",IF(J202="ROSL CLAIMED","ROSL CLAIMED","ROSL NOT CLAIMED"))</f>
        <v>ROSL NOT CLAIMED</v>
      </c>
      <c r="L202" s="8" t="str">
        <f t="shared" si="19"/>
        <v>NULL</v>
      </c>
      <c r="M202" s="6">
        <f t="shared" si="20"/>
        <v>0</v>
      </c>
      <c r="N202" s="9">
        <f t="shared" ca="1" si="21"/>
        <v>2976</v>
      </c>
      <c r="O202" s="6" t="str">
        <f t="shared" si="22"/>
        <v>GST Paid</v>
      </c>
      <c r="P202" t="str">
        <f t="shared" si="23"/>
        <v xml:space="preserve">TUGLAKABAD ICD (INTKD6) - Current Que LEO Date EP Copy Print Status DBK Scroll No Scroll Date EGM Integration Status
HIST  06 OCT 2017 00:10  Y  24432/2018  25 MAR 2018 00:03  Y </v>
      </c>
    </row>
    <row r="203" spans="1:16">
      <c r="A203" t="s">
        <v>16</v>
      </c>
      <c r="B203">
        <v>8967109</v>
      </c>
      <c r="C203" t="s">
        <v>882</v>
      </c>
      <c r="D203" t="s">
        <v>901</v>
      </c>
      <c r="E203" t="s">
        <v>902</v>
      </c>
      <c r="F203" t="s">
        <v>891</v>
      </c>
      <c r="G203" t="s">
        <v>21</v>
      </c>
      <c r="H203" t="s">
        <v>903</v>
      </c>
      <c r="I203" t="s">
        <v>893</v>
      </c>
      <c r="J203" s="6" t="str">
        <f t="shared" si="18"/>
        <v>ROSL NOT CLAIMED</v>
      </c>
      <c r="K203" s="6" t="str">
        <f>IF(J203="","",IF(J203="ROSL CLAIMED","ROSL CLAIMED","ROSL NOT CLAIMED"))</f>
        <v>ROSL NOT CLAIMED</v>
      </c>
      <c r="L203" s="8" t="str">
        <f t="shared" si="19"/>
        <v>NULL</v>
      </c>
      <c r="M203" s="6">
        <f t="shared" si="20"/>
        <v>0</v>
      </c>
      <c r="N203" s="9">
        <f t="shared" ca="1" si="21"/>
        <v>2976</v>
      </c>
      <c r="O203" s="6" t="str">
        <f t="shared" si="22"/>
        <v>GST Paid</v>
      </c>
      <c r="P203" t="str">
        <f t="shared" si="23"/>
        <v xml:space="preserve">TUGLAKABAD ICD (INTKD6) - Current Que LEO Date EP Copy Print Status DBK Scroll No Scroll Date EGM Integration Status
HIST  09 OCT 2017 00:10  Y  22374/2017  31 OCT 2017 00:10  Y </v>
      </c>
    </row>
    <row r="204" spans="1:16">
      <c r="A204" t="s">
        <v>16</v>
      </c>
      <c r="B204">
        <v>8967731</v>
      </c>
      <c r="C204" t="s">
        <v>882</v>
      </c>
      <c r="D204" t="s">
        <v>904</v>
      </c>
      <c r="E204" t="s">
        <v>890</v>
      </c>
      <c r="F204" t="s">
        <v>905</v>
      </c>
      <c r="G204" t="s">
        <v>21</v>
      </c>
      <c r="H204" t="s">
        <v>906</v>
      </c>
      <c r="I204" t="s">
        <v>907</v>
      </c>
      <c r="J204" s="6" t="str">
        <f t="shared" si="18"/>
        <v>ROSL NOT CLAIMED</v>
      </c>
      <c r="K204" s="6" t="str">
        <f>IF(J204="","",IF(J204="ROSL CLAIMED","ROSL CLAIMED","ROSL NOT CLAIMED"))</f>
        <v>ROSL NOT CLAIMED</v>
      </c>
      <c r="L204" s="8" t="str">
        <f t="shared" si="19"/>
        <v>NULL</v>
      </c>
      <c r="M204" s="6">
        <f t="shared" si="20"/>
        <v>0</v>
      </c>
      <c r="N204" s="9">
        <f t="shared" ca="1" si="21"/>
        <v>2976</v>
      </c>
      <c r="O204" s="6" t="str">
        <f t="shared" si="22"/>
        <v>GST Paid</v>
      </c>
      <c r="P204" t="str">
        <f t="shared" si="23"/>
        <v xml:space="preserve">TUGLAKABAD ICD (INTKD6) - Current Que LEO Date EP Copy Print Status DBK Scroll No Scroll Date EGM Integration Status
HIST  06 OCT 2017 00:10  Y  22374/2017  31 OCT 2017 00:10  Y </v>
      </c>
    </row>
    <row r="205" spans="1:16">
      <c r="A205" t="s">
        <v>16</v>
      </c>
      <c r="B205">
        <v>8999430</v>
      </c>
      <c r="C205" t="s">
        <v>908</v>
      </c>
      <c r="D205" t="s">
        <v>909</v>
      </c>
      <c r="E205" t="s">
        <v>910</v>
      </c>
      <c r="F205" t="s">
        <v>911</v>
      </c>
      <c r="G205" t="s">
        <v>21</v>
      </c>
      <c r="H205" t="s">
        <v>912</v>
      </c>
      <c r="I205" t="s">
        <v>913</v>
      </c>
      <c r="J205" s="6" t="str">
        <f t="shared" si="18"/>
        <v>ROSL NOT CLAIMED</v>
      </c>
      <c r="K205" s="6" t="str">
        <f>IF(J205="","",IF(J205="ROSL CLAIMED","ROSL CLAIMED","ROSL NOT CLAIMED"))</f>
        <v>ROSL NOT CLAIMED</v>
      </c>
      <c r="L205" s="8" t="str">
        <f t="shared" si="19"/>
        <v>06  0  8006  N.</v>
      </c>
      <c r="M205" s="6">
        <f t="shared" si="20"/>
        <v>0</v>
      </c>
      <c r="N205" s="9">
        <f t="shared" ca="1" si="21"/>
        <v>2975</v>
      </c>
      <c r="O205" s="6" t="str">
        <f t="shared" si="22"/>
        <v>GST Paid</v>
      </c>
      <c r="P205" t="str">
        <f t="shared" si="23"/>
        <v xml:space="preserve">TUGLAKABAD ICD (INTKD6) - Current Que LEO Date EP Copy Print Status DBK Scroll No Scroll Date EGM Integration Status
HIST  04 OCT 2017 00:10  Y  22374/2017  31 OCT 2017 00:10  Y </v>
      </c>
    </row>
    <row r="206" spans="1:16">
      <c r="A206" t="s">
        <v>16</v>
      </c>
      <c r="B206">
        <v>9000406</v>
      </c>
      <c r="C206" t="s">
        <v>908</v>
      </c>
      <c r="D206" t="s">
        <v>914</v>
      </c>
      <c r="E206" t="s">
        <v>915</v>
      </c>
      <c r="F206" t="s">
        <v>916</v>
      </c>
      <c r="G206" t="s">
        <v>21</v>
      </c>
      <c r="H206" t="s">
        <v>917</v>
      </c>
      <c r="I206" t="s">
        <v>918</v>
      </c>
      <c r="J206" s="6" t="str">
        <f t="shared" si="18"/>
        <v>ROSL NOT CLAIMED</v>
      </c>
      <c r="K206" s="6" t="str">
        <f>IF(J206="","",IF(J206="ROSL CLAIMED","ROSL CLAIMED","ROSL NOT CLAIMED"))</f>
        <v>ROSL NOT CLAIMED</v>
      </c>
      <c r="L206" s="8" t="str">
        <f t="shared" si="19"/>
        <v>0619  3765676.4</v>
      </c>
      <c r="M206" s="6">
        <f t="shared" si="20"/>
        <v>0</v>
      </c>
      <c r="N206" s="9">
        <f t="shared" ca="1" si="21"/>
        <v>2975</v>
      </c>
      <c r="O206" s="6" t="str">
        <f t="shared" si="22"/>
        <v>GST Paid</v>
      </c>
      <c r="P206" t="str">
        <f t="shared" si="23"/>
        <v xml:space="preserve">TUGLAKABAD ICD (INTKD6) - Current Que LEO Date EP Copy Print Status DBK Scroll No Scroll Date EGM Integration Status
HIST  10 OCT 2017 00:10  Y  22374/2017  31 OCT 2017 00:10  Y </v>
      </c>
    </row>
    <row r="207" spans="1:16">
      <c r="A207" t="s">
        <v>16</v>
      </c>
      <c r="B207">
        <v>9003019</v>
      </c>
      <c r="C207" t="s">
        <v>908</v>
      </c>
      <c r="D207" t="s">
        <v>919</v>
      </c>
      <c r="E207" t="s">
        <v>819</v>
      </c>
      <c r="F207" t="s">
        <v>916</v>
      </c>
      <c r="G207" t="s">
        <v>21</v>
      </c>
      <c r="H207" t="s">
        <v>920</v>
      </c>
      <c r="I207" t="s">
        <v>918</v>
      </c>
      <c r="J207" s="6" t="str">
        <f t="shared" si="18"/>
        <v>ROSL NOT CLAIMED</v>
      </c>
      <c r="K207" s="6" t="str">
        <f>IF(J207="","",IF(J207="ROSL CLAIMED","ROSL CLAIMED","ROSL NOT CLAIMED"))</f>
        <v>ROSL NOT CLAIMED</v>
      </c>
      <c r="L207" s="8" t="str">
        <f t="shared" si="19"/>
        <v xml:space="preserve">0632  0  80632 </v>
      </c>
      <c r="M207" s="6">
        <f t="shared" si="20"/>
        <v>0</v>
      </c>
      <c r="N207" s="9">
        <f t="shared" ca="1" si="21"/>
        <v>2975</v>
      </c>
      <c r="O207" s="6" t="str">
        <f t="shared" si="22"/>
        <v>GST Paid</v>
      </c>
      <c r="P207" t="str">
        <f t="shared" si="23"/>
        <v xml:space="preserve">TUGLAKABAD ICD (INTKD6) - Current Que LEO Date EP Copy Print Status DBK Scroll No Scroll Date EGM Integration Status
HIST  11 OCT 2017 00:10  Y  22374/2017  31 OCT 2017 00:10  Y </v>
      </c>
    </row>
    <row r="208" spans="1:16">
      <c r="A208" t="s">
        <v>16</v>
      </c>
      <c r="B208">
        <v>9009228</v>
      </c>
      <c r="C208" t="s">
        <v>908</v>
      </c>
      <c r="D208" t="s">
        <v>921</v>
      </c>
      <c r="E208" t="s">
        <v>757</v>
      </c>
      <c r="F208" t="s">
        <v>922</v>
      </c>
      <c r="G208" t="s">
        <v>39</v>
      </c>
      <c r="H208" t="s">
        <v>923</v>
      </c>
      <c r="I208" t="s">
        <v>924</v>
      </c>
      <c r="J208" s="6" t="str">
        <f t="shared" si="18"/>
        <v>ROSL CLAIMED</v>
      </c>
      <c r="K208" s="6" t="str">
        <f>IF(J208="","",IF(J208="ROSL CLAIMED","ROSL CLAIMED","ROSL NOT CLAIMED"))</f>
        <v>ROSL CLAIMED</v>
      </c>
      <c r="L208" s="8" t="str">
        <f t="shared" si="19"/>
        <v>NULL</v>
      </c>
      <c r="M208" s="6">
        <f t="shared" si="20"/>
        <v>1</v>
      </c>
      <c r="N208" s="9">
        <f t="shared" ca="1" si="21"/>
        <v>2975</v>
      </c>
      <c r="O208" s="6" t="str">
        <f t="shared" si="22"/>
        <v>GST Paid</v>
      </c>
      <c r="P208" t="str">
        <f t="shared" si="23"/>
        <v xml:space="preserve">TUGLAKABAD ICD (INTKD6) - Current Que LEO Date EP Copy Print Status DBK Scroll No Scroll Date EGM Integration Status
HIST  03 OCT 2017 00:10  Y  N.A.  N.A.  Y </v>
      </c>
    </row>
    <row r="209" spans="1:16">
      <c r="A209" t="s">
        <v>16</v>
      </c>
      <c r="B209">
        <v>9029616</v>
      </c>
      <c r="C209" t="s">
        <v>925</v>
      </c>
      <c r="D209" t="s">
        <v>926</v>
      </c>
      <c r="E209" t="s">
        <v>927</v>
      </c>
      <c r="F209" t="s">
        <v>928</v>
      </c>
      <c r="G209" t="s">
        <v>21</v>
      </c>
      <c r="H209" t="s">
        <v>929</v>
      </c>
      <c r="I209" t="s">
        <v>930</v>
      </c>
      <c r="J209" s="6" t="str">
        <f t="shared" si="18"/>
        <v>ROSL NOT CLAIMED</v>
      </c>
      <c r="K209" s="6" t="str">
        <f>IF(J209="","",IF(J209="ROSL CLAIMED","ROSL CLAIMED","ROSL NOT CLAIMED"))</f>
        <v>ROSL NOT CLAIMED</v>
      </c>
      <c r="L209" s="8" t="str">
        <f t="shared" si="19"/>
        <v>NULL</v>
      </c>
      <c r="M209" s="6">
        <f t="shared" si="20"/>
        <v>0</v>
      </c>
      <c r="N209" s="9">
        <f t="shared" ca="1" si="21"/>
        <v>2971</v>
      </c>
      <c r="O209" s="6" t="str">
        <f t="shared" si="22"/>
        <v>GST Paid</v>
      </c>
      <c r="P209" t="str">
        <f t="shared" si="23"/>
        <v xml:space="preserve">TUGLAKABAD ICD (INTKD6) - Current Que LEO Date EP Copy Print Status DBK Scroll No Scroll Date EGM Integration Status
HIST  05 OCT 2017 00:10  Y  22260/2017  24 OCT 2017 00:10  Y </v>
      </c>
    </row>
    <row r="210" spans="1:16">
      <c r="A210" t="s">
        <v>16</v>
      </c>
      <c r="B210">
        <v>9049883</v>
      </c>
      <c r="C210" t="s">
        <v>925</v>
      </c>
      <c r="D210" t="s">
        <v>931</v>
      </c>
      <c r="E210" t="s">
        <v>932</v>
      </c>
      <c r="F210" t="s">
        <v>933</v>
      </c>
      <c r="G210" t="s">
        <v>39</v>
      </c>
      <c r="H210" t="s">
        <v>934</v>
      </c>
      <c r="I210" t="s">
        <v>935</v>
      </c>
      <c r="J210" s="6" t="str">
        <f t="shared" si="18"/>
        <v>ROSL CLAIMED</v>
      </c>
      <c r="K210" s="6" t="str">
        <f>IF(J210="","",IF(J210="ROSL CLAIMED","ROSL CLAIMED","ROSL NOT CLAIMED"))</f>
        <v>ROSL CLAIMED</v>
      </c>
      <c r="L210" s="8" t="str">
        <f t="shared" si="19"/>
        <v>06012905  FHMPS</v>
      </c>
      <c r="M210" s="6">
        <f t="shared" si="20"/>
        <v>1</v>
      </c>
      <c r="N210" s="9">
        <f t="shared" ca="1" si="21"/>
        <v>2971</v>
      </c>
      <c r="O210" s="6" t="str">
        <f t="shared" si="22"/>
        <v>GST Paid</v>
      </c>
      <c r="P210" t="str">
        <f t="shared" si="23"/>
        <v xml:space="preserve">TUGLAKABAD ICD (INTKD6) - Current Que LEO Date EP Copy Print Status DBK Scroll No Scroll Date EGM Integration Status
HIST  05 OCT 2017 00:10  Y  N.A.  N.A.  Y </v>
      </c>
    </row>
    <row r="211" spans="1:16">
      <c r="A211" t="s">
        <v>16</v>
      </c>
      <c r="B211">
        <v>9064900</v>
      </c>
      <c r="C211" t="s">
        <v>936</v>
      </c>
      <c r="D211" t="s">
        <v>937</v>
      </c>
      <c r="E211" t="s">
        <v>938</v>
      </c>
      <c r="F211" t="s">
        <v>939</v>
      </c>
      <c r="G211" t="s">
        <v>21</v>
      </c>
      <c r="H211" t="s">
        <v>940</v>
      </c>
      <c r="I211" t="s">
        <v>941</v>
      </c>
      <c r="J211" s="6" t="str">
        <f t="shared" si="18"/>
        <v>ROSL NOT CLAIMED</v>
      </c>
      <c r="K211" s="6" t="str">
        <f>IF(J211="","",IF(J211="ROSL CLAIMED","ROSL CLAIMED","ROSL NOT CLAIMED"))</f>
        <v>ROSL NOT CLAIMED</v>
      </c>
      <c r="L211" s="8" t="str">
        <f t="shared" si="19"/>
        <v>063227  AACCP02</v>
      </c>
      <c r="M211" s="6">
        <f t="shared" si="20"/>
        <v>0</v>
      </c>
      <c r="N211" s="9">
        <f t="shared" ca="1" si="21"/>
        <v>2970</v>
      </c>
      <c r="O211" s="6" t="str">
        <f t="shared" si="22"/>
        <v>GST Paid</v>
      </c>
      <c r="P211" t="str">
        <f t="shared" si="23"/>
        <v xml:space="preserve">TUGLAKABAD ICD (INTKD6) - Current Que LEO Date EP Copy Print Status DBK Scroll No Scroll Date EGM Integration Status
HIST  07 OCT 2017 00:10  Y  22374/2017  31 OCT 2017 00:10  Y </v>
      </c>
    </row>
    <row r="212" spans="1:16">
      <c r="A212" t="s">
        <v>16</v>
      </c>
      <c r="B212">
        <v>9073097</v>
      </c>
      <c r="C212" t="s">
        <v>936</v>
      </c>
      <c r="D212" t="s">
        <v>942</v>
      </c>
      <c r="E212" t="s">
        <v>943</v>
      </c>
      <c r="F212" t="s">
        <v>944</v>
      </c>
      <c r="G212" t="s">
        <v>39</v>
      </c>
      <c r="H212" t="s">
        <v>945</v>
      </c>
      <c r="I212" t="s">
        <v>946</v>
      </c>
      <c r="J212" s="6" t="str">
        <f t="shared" si="18"/>
        <v>ROSL CLAIMED</v>
      </c>
      <c r="K212" s="6" t="str">
        <f>IF(J212="","",IF(J212="ROSL CLAIMED","ROSL CLAIMED","ROSL NOT CLAIMED"))</f>
        <v>ROSL CLAIMED</v>
      </c>
      <c r="L212" s="8" t="str">
        <f t="shared" si="19"/>
        <v>NULL</v>
      </c>
      <c r="M212" s="6">
        <f t="shared" si="20"/>
        <v>1</v>
      </c>
      <c r="N212" s="9">
        <f t="shared" ca="1" si="21"/>
        <v>2970</v>
      </c>
      <c r="O212" s="6" t="str">
        <f t="shared" si="22"/>
        <v>GST Paid</v>
      </c>
      <c r="P212" t="str">
        <f t="shared" si="23"/>
        <v xml:space="preserve">TUGLAKABAD ICD (INTKD6) - Current Que LEO Date EP Copy Print Status DBK Scroll No Scroll Date EGM Integration Status
HIST  09 OCT 2017 00:10  Y  N.A.  N.A.  Y </v>
      </c>
    </row>
    <row r="213" spans="1:16">
      <c r="A213" t="s">
        <v>16</v>
      </c>
      <c r="B213">
        <v>9086361</v>
      </c>
      <c r="C213" t="s">
        <v>947</v>
      </c>
      <c r="D213" t="s">
        <v>948</v>
      </c>
      <c r="E213" t="s">
        <v>949</v>
      </c>
      <c r="F213" t="s">
        <v>950</v>
      </c>
      <c r="G213" t="s">
        <v>39</v>
      </c>
      <c r="H213" t="s">
        <v>951</v>
      </c>
      <c r="I213" t="s">
        <v>952</v>
      </c>
      <c r="J213" s="6" t="str">
        <f t="shared" si="18"/>
        <v>ROSL CLAIMED</v>
      </c>
      <c r="K213" s="6" t="str">
        <f>IF(J213="","",IF(J213="ROSL CLAIMED","ROSL CLAIMED","ROSL NOT CLAIMED"))</f>
        <v>ROSL CLAIMED</v>
      </c>
      <c r="L213" s="8" t="str">
        <f t="shared" si="19"/>
        <v>NULL</v>
      </c>
      <c r="M213" s="6">
        <f t="shared" si="20"/>
        <v>1</v>
      </c>
      <c r="N213" s="9">
        <f t="shared" ca="1" si="21"/>
        <v>2969</v>
      </c>
      <c r="O213" s="6" t="str">
        <f t="shared" si="22"/>
        <v>GST Paid</v>
      </c>
      <c r="P213" t="str">
        <f t="shared" si="23"/>
        <v xml:space="preserve">TUGLAKABAD ICD (INTKD6) - Current Que LEO Date EP Copy Print Status DBK Scroll No Scroll Date EGM Integration Status
HIST  07 OCT 2017 00:10  Y  N.A.  N.A.  Y </v>
      </c>
    </row>
    <row r="214" spans="1:16">
      <c r="A214" t="s">
        <v>16</v>
      </c>
      <c r="B214">
        <v>9089004</v>
      </c>
      <c r="C214" t="s">
        <v>947</v>
      </c>
      <c r="D214" t="s">
        <v>953</v>
      </c>
      <c r="E214" t="s">
        <v>915</v>
      </c>
      <c r="F214" t="s">
        <v>954</v>
      </c>
      <c r="G214" t="s">
        <v>21</v>
      </c>
      <c r="H214" t="s">
        <v>955</v>
      </c>
      <c r="I214" t="s">
        <v>956</v>
      </c>
      <c r="J214" s="6" t="str">
        <f t="shared" si="18"/>
        <v>ROSL NOT CLAIMED</v>
      </c>
      <c r="K214" s="6" t="str">
        <f>IF(J214="","",IF(J214="ROSL CLAIMED","ROSL CLAIMED","ROSL NOT CLAIMED"))</f>
        <v>ROSL NOT CLAIMED</v>
      </c>
      <c r="L214" s="8" t="str">
        <f t="shared" si="19"/>
        <v>067969  AHVPD51</v>
      </c>
      <c r="M214" s="6">
        <f t="shared" si="20"/>
        <v>0</v>
      </c>
      <c r="N214" s="9">
        <f t="shared" ca="1" si="21"/>
        <v>2969</v>
      </c>
      <c r="O214" s="6" t="str">
        <f t="shared" si="22"/>
        <v>GST Paid</v>
      </c>
      <c r="P214" t="str">
        <f t="shared" si="23"/>
        <v xml:space="preserve">TUGLAKABAD ICD (INTKD6) - Current Que LEO Date EP Copy Print Status DBK Scroll No Scroll Date EGM Integration Status
HIST  10 OCT 2017 00:10  Y  22374/2017  31 OCT 2017 00:10  Y </v>
      </c>
    </row>
    <row r="215" spans="1:16">
      <c r="A215" t="s">
        <v>16</v>
      </c>
      <c r="B215">
        <v>9093386</v>
      </c>
      <c r="C215" t="s">
        <v>947</v>
      </c>
      <c r="D215" t="s">
        <v>957</v>
      </c>
      <c r="E215" t="s">
        <v>938</v>
      </c>
      <c r="F215" t="s">
        <v>958</v>
      </c>
      <c r="G215" t="s">
        <v>21</v>
      </c>
      <c r="H215" t="s">
        <v>959</v>
      </c>
      <c r="I215" t="s">
        <v>960</v>
      </c>
      <c r="J215" s="6" t="str">
        <f t="shared" si="18"/>
        <v>ROSL NOT CLAIMED</v>
      </c>
      <c r="K215" s="6" t="str">
        <f>IF(J215="","",IF(J215="ROSL CLAIMED","ROSL CLAIMED","ROSL NOT CLAIMED"))</f>
        <v>ROSL NOT CLAIMED</v>
      </c>
      <c r="L215" s="8" t="str">
        <f t="shared" si="19"/>
        <v>NULL</v>
      </c>
      <c r="M215" s="6">
        <f t="shared" si="20"/>
        <v>0</v>
      </c>
      <c r="N215" s="9">
        <f t="shared" ca="1" si="21"/>
        <v>2969</v>
      </c>
      <c r="O215" s="6" t="str">
        <f t="shared" si="22"/>
        <v>GST Paid</v>
      </c>
      <c r="P215" t="str">
        <f t="shared" si="23"/>
        <v xml:space="preserve">TUGLAKABAD ICD (INTKD6) - Current Que LEO Date EP Copy Print Status DBK Scroll No Scroll Date EGM Integration Status
HIST  07 OCT 2017 00:10  Y  22374/2017  31 OCT 2017 00:10  Y </v>
      </c>
    </row>
    <row r="216" spans="1:16">
      <c r="A216" t="s">
        <v>16</v>
      </c>
      <c r="B216">
        <v>9096262</v>
      </c>
      <c r="C216" t="s">
        <v>947</v>
      </c>
      <c r="D216" t="s">
        <v>961</v>
      </c>
      <c r="E216" t="s">
        <v>895</v>
      </c>
      <c r="F216" t="s">
        <v>962</v>
      </c>
      <c r="G216" t="s">
        <v>21</v>
      </c>
      <c r="H216" t="s">
        <v>963</v>
      </c>
      <c r="I216" t="s">
        <v>964</v>
      </c>
      <c r="J216" s="6" t="str">
        <f t="shared" si="18"/>
        <v>ROSL NOT CLAIMED</v>
      </c>
      <c r="K216" s="6" t="str">
        <f>IF(J216="","",IF(J216="ROSL CLAIMED","ROSL CLAIMED","ROSL NOT CLAIMED"))</f>
        <v>ROSL NOT CLAIMED</v>
      </c>
      <c r="L216" s="8" t="str">
        <f t="shared" si="19"/>
        <v>NULL</v>
      </c>
      <c r="M216" s="6">
        <f t="shared" si="20"/>
        <v>0</v>
      </c>
      <c r="N216" s="9">
        <f t="shared" ca="1" si="21"/>
        <v>2969</v>
      </c>
      <c r="O216" s="6" t="str">
        <f t="shared" si="22"/>
        <v>GST Paid</v>
      </c>
      <c r="P216" t="str">
        <f t="shared" si="23"/>
        <v xml:space="preserve">TUGLAKABAD ICD (INTKD6) - Current Que LEO Date EP Copy Print Status DBK Scroll No Scroll Date EGM Integration Status
HIST  06 OCT 2017 00:10  Y  22260/2017  24 OCT 2017 00:10  Y </v>
      </c>
    </row>
    <row r="217" spans="1:16">
      <c r="A217" t="s">
        <v>16</v>
      </c>
      <c r="B217">
        <v>9098433</v>
      </c>
      <c r="C217" t="s">
        <v>947</v>
      </c>
      <c r="D217" t="s">
        <v>965</v>
      </c>
      <c r="E217" t="s">
        <v>902</v>
      </c>
      <c r="F217" t="s">
        <v>966</v>
      </c>
      <c r="G217" t="s">
        <v>21</v>
      </c>
      <c r="H217" t="s">
        <v>967</v>
      </c>
      <c r="I217" t="s">
        <v>941</v>
      </c>
      <c r="J217" s="6" t="str">
        <f t="shared" si="18"/>
        <v>ROSL NOT CLAIMED</v>
      </c>
      <c r="K217" s="6" t="str">
        <f>IF(J217="","",IF(J217="ROSL CLAIMED","ROSL CLAIMED","ROSL NOT CLAIMED"))</f>
        <v>ROSL NOT CLAIMED</v>
      </c>
      <c r="L217" s="8" t="str">
        <f t="shared" si="19"/>
        <v>061428  AHVPD51</v>
      </c>
      <c r="M217" s="6">
        <f t="shared" si="20"/>
        <v>0</v>
      </c>
      <c r="N217" s="9">
        <f t="shared" ca="1" si="21"/>
        <v>2969</v>
      </c>
      <c r="O217" s="6" t="str">
        <f t="shared" si="22"/>
        <v>GST Paid</v>
      </c>
      <c r="P217" t="str">
        <f t="shared" si="23"/>
        <v xml:space="preserve">TUGLAKABAD ICD (INTKD6) - Current Que LEO Date EP Copy Print Status DBK Scroll No Scroll Date EGM Integration Status
HIST  09 OCT 2017 00:10  Y  22374/2017  31 OCT 2017 00:10  Y </v>
      </c>
    </row>
    <row r="218" spans="1:16">
      <c r="A218" t="s">
        <v>16</v>
      </c>
      <c r="B218">
        <v>9122323</v>
      </c>
      <c r="C218" t="s">
        <v>968</v>
      </c>
      <c r="D218" t="s">
        <v>969</v>
      </c>
      <c r="E218" t="s">
        <v>949</v>
      </c>
      <c r="F218" t="s">
        <v>966</v>
      </c>
      <c r="G218" t="s">
        <v>39</v>
      </c>
      <c r="H218" t="s">
        <v>970</v>
      </c>
      <c r="I218" t="s">
        <v>941</v>
      </c>
      <c r="J218" s="6" t="str">
        <f t="shared" si="18"/>
        <v>ROSL CLAIMED</v>
      </c>
      <c r="K218" s="6" t="str">
        <f>IF(J218="","",IF(J218="ROSL CLAIMED","ROSL CLAIMED","ROSL NOT CLAIMED"))</f>
        <v>ROSL CLAIMED</v>
      </c>
      <c r="L218" s="8" t="str">
        <f t="shared" si="19"/>
        <v>06 OCT 2017 12:</v>
      </c>
      <c r="M218" s="6">
        <f t="shared" si="20"/>
        <v>1</v>
      </c>
      <c r="N218" s="9">
        <f t="shared" ca="1" si="21"/>
        <v>2968</v>
      </c>
      <c r="O218" s="6" t="str">
        <f t="shared" si="22"/>
        <v>GST Paid</v>
      </c>
      <c r="P218" t="str">
        <f t="shared" si="23"/>
        <v xml:space="preserve">TUGLAKABAD ICD (INTKD6) - Current Que LEO Date EP Copy Print Status DBK Scroll No Scroll Date EGM Integration Status
HIST  07 OCT 2017 00:10  Y  N.A.  N.A.  Y </v>
      </c>
    </row>
    <row r="219" spans="1:16">
      <c r="A219" t="s">
        <v>16</v>
      </c>
      <c r="B219">
        <v>9131041</v>
      </c>
      <c r="C219" t="s">
        <v>968</v>
      </c>
      <c r="D219" t="s">
        <v>971</v>
      </c>
      <c r="E219" t="s">
        <v>972</v>
      </c>
      <c r="F219" t="s">
        <v>973</v>
      </c>
      <c r="G219" t="s">
        <v>39</v>
      </c>
      <c r="H219" t="s">
        <v>974</v>
      </c>
      <c r="I219" t="s">
        <v>975</v>
      </c>
      <c r="J219" s="6" t="str">
        <f t="shared" si="18"/>
        <v>ROSL CLAIMED</v>
      </c>
      <c r="K219" s="6" t="str">
        <f>IF(J219="","",IF(J219="ROSL CLAIMED","ROSL CLAIMED","ROSL NOT CLAIMED"))</f>
        <v>ROSL CLAIMED</v>
      </c>
      <c r="L219" s="8" t="str">
        <f t="shared" si="19"/>
        <v>06 OCT 2017 12:</v>
      </c>
      <c r="M219" s="6">
        <f t="shared" si="20"/>
        <v>1</v>
      </c>
      <c r="N219" s="9">
        <f t="shared" ca="1" si="21"/>
        <v>2968</v>
      </c>
      <c r="O219" s="6" t="str">
        <f t="shared" si="22"/>
        <v>GST Paid</v>
      </c>
      <c r="P219" t="str">
        <f t="shared" si="23"/>
        <v xml:space="preserve">TUGLAKABAD ICD (INTKD6) - Current Que LEO Date EP Copy Print Status DBK Scroll No Scroll Date EGM Integration Status
HIST  12 OCT 2017 00:10  Y  N.A.  N.A.  Y </v>
      </c>
    </row>
    <row r="220" spans="1:16">
      <c r="A220" t="s">
        <v>16</v>
      </c>
      <c r="B220">
        <v>9136843</v>
      </c>
      <c r="C220" t="s">
        <v>976</v>
      </c>
      <c r="D220" t="s">
        <v>977</v>
      </c>
      <c r="E220" t="s">
        <v>819</v>
      </c>
      <c r="F220" t="s">
        <v>978</v>
      </c>
      <c r="G220" t="s">
        <v>21</v>
      </c>
      <c r="H220" t="s">
        <v>979</v>
      </c>
      <c r="I220" t="s">
        <v>980</v>
      </c>
      <c r="J220" s="6" t="str">
        <f t="shared" si="18"/>
        <v>ROSL NOT CLAIMED</v>
      </c>
      <c r="K220" s="6" t="str">
        <f>IF(J220="","",IF(J220="ROSL CLAIMED","ROSL CLAIMED","ROSL NOT CLAIMED"))</f>
        <v>ROSL NOT CLAIMED</v>
      </c>
      <c r="L220" s="8" t="str">
        <f t="shared" si="19"/>
        <v>NULL</v>
      </c>
      <c r="M220" s="6">
        <f t="shared" si="20"/>
        <v>0</v>
      </c>
      <c r="N220" s="9">
        <f t="shared" ca="1" si="21"/>
        <v>2967</v>
      </c>
      <c r="O220" s="6" t="str">
        <f t="shared" si="22"/>
        <v>GST Paid</v>
      </c>
      <c r="P220" t="str">
        <f t="shared" si="23"/>
        <v xml:space="preserve">TUGLAKABAD ICD (INTKD6) - Current Que LEO Date EP Copy Print Status DBK Scroll No Scroll Date EGM Integration Status
HIST  11 OCT 2017 00:10  Y  22374/2017  31 OCT 2017 00:10  Y </v>
      </c>
    </row>
    <row r="221" spans="1:16">
      <c r="A221" t="s">
        <v>16</v>
      </c>
      <c r="B221">
        <v>9137886</v>
      </c>
      <c r="C221" t="s">
        <v>976</v>
      </c>
      <c r="D221" t="s">
        <v>981</v>
      </c>
      <c r="E221" t="s">
        <v>943</v>
      </c>
      <c r="F221" t="s">
        <v>982</v>
      </c>
      <c r="G221" t="s">
        <v>39</v>
      </c>
      <c r="H221" t="s">
        <v>983</v>
      </c>
      <c r="I221" t="s">
        <v>984</v>
      </c>
      <c r="J221" s="6" t="str">
        <f t="shared" si="18"/>
        <v>ROSL CLAIMED</v>
      </c>
      <c r="K221" s="6" t="str">
        <f>IF(J221="","",IF(J221="ROSL CLAIMED","ROSL CLAIMED","ROSL NOT CLAIMED"))</f>
        <v>ROSL CLAIMED</v>
      </c>
      <c r="L221" s="8" t="str">
        <f t="shared" si="19"/>
        <v>NULL</v>
      </c>
      <c r="M221" s="6">
        <f t="shared" si="20"/>
        <v>1</v>
      </c>
      <c r="N221" s="9">
        <f t="shared" ca="1" si="21"/>
        <v>2967</v>
      </c>
      <c r="O221" s="6" t="str">
        <f t="shared" si="22"/>
        <v>GST Paid</v>
      </c>
      <c r="P221" t="str">
        <f t="shared" si="23"/>
        <v xml:space="preserve">TUGLAKABAD ICD (INTKD6) - Current Que LEO Date EP Copy Print Status DBK Scroll No Scroll Date EGM Integration Status
HIST  09 OCT 2017 00:10  Y  N.A.  N.A.  Y </v>
      </c>
    </row>
    <row r="222" spans="1:16">
      <c r="A222" t="s">
        <v>16</v>
      </c>
      <c r="B222">
        <v>9150741</v>
      </c>
      <c r="C222" t="s">
        <v>976</v>
      </c>
      <c r="D222" t="s">
        <v>985</v>
      </c>
      <c r="E222" t="s">
        <v>902</v>
      </c>
      <c r="F222" t="s">
        <v>986</v>
      </c>
      <c r="G222" t="s">
        <v>21</v>
      </c>
      <c r="H222" t="s">
        <v>987</v>
      </c>
      <c r="I222" t="s">
        <v>988</v>
      </c>
      <c r="J222" s="6" t="str">
        <f t="shared" si="18"/>
        <v>ROSL NOT CLAIMED</v>
      </c>
      <c r="K222" s="6" t="str">
        <f>IF(J222="","",IF(J222="ROSL CLAIMED","ROSL CLAIMED","ROSL NOT CLAIMED"))</f>
        <v>ROSL NOT CLAIMED</v>
      </c>
      <c r="L222" s="8" t="str">
        <f t="shared" si="19"/>
        <v>NULL</v>
      </c>
      <c r="M222" s="6">
        <f t="shared" si="20"/>
        <v>0</v>
      </c>
      <c r="N222" s="9">
        <f t="shared" ca="1" si="21"/>
        <v>2967</v>
      </c>
      <c r="O222" s="6" t="str">
        <f t="shared" si="22"/>
        <v>GST Paid</v>
      </c>
      <c r="P222" t="str">
        <f t="shared" si="23"/>
        <v xml:space="preserve">TUGLAKABAD ICD (INTKD6) - Current Que LEO Date EP Copy Print Status DBK Scroll No Scroll Date EGM Integration Status
HIST  09 OCT 2017 00:10  Y  22374/2017  31 OCT 2017 00:10  Y </v>
      </c>
    </row>
    <row r="223" spans="1:16">
      <c r="A223" t="s">
        <v>16</v>
      </c>
      <c r="B223">
        <v>9161051</v>
      </c>
      <c r="C223" t="s">
        <v>989</v>
      </c>
      <c r="D223" t="s">
        <v>990</v>
      </c>
      <c r="E223" t="s">
        <v>991</v>
      </c>
      <c r="F223" t="s">
        <v>992</v>
      </c>
      <c r="G223" t="s">
        <v>39</v>
      </c>
      <c r="H223" t="s">
        <v>993</v>
      </c>
      <c r="I223" t="s">
        <v>994</v>
      </c>
      <c r="J223" s="6" t="str">
        <f t="shared" si="18"/>
        <v>ROSL CLAIMED</v>
      </c>
      <c r="K223" s="6" t="str">
        <f>IF(J223="","",IF(J223="ROSL CLAIMED","ROSL CLAIMED","ROSL NOT CLAIMED"))</f>
        <v>ROSL CLAIMED</v>
      </c>
      <c r="L223" s="8" t="str">
        <f t="shared" si="19"/>
        <v>NULL</v>
      </c>
      <c r="M223" s="6">
        <f t="shared" si="20"/>
        <v>1</v>
      </c>
      <c r="N223" s="9">
        <f t="shared" ca="1" si="21"/>
        <v>2965</v>
      </c>
      <c r="O223" s="6" t="str">
        <f t="shared" si="22"/>
        <v>GST Paid</v>
      </c>
      <c r="P223" t="str">
        <f t="shared" si="23"/>
        <v xml:space="preserve">TUGLAKABAD ICD (INTKD6) - Current Que LEO Date EP Copy Print Status DBK Scroll No Scroll Date EGM Integration Status
HIST  10 OCT 2017 00:10  Y  N.A.  N.A.  Y </v>
      </c>
    </row>
    <row r="224" spans="1:16">
      <c r="A224" t="s">
        <v>16</v>
      </c>
      <c r="B224">
        <v>9203657</v>
      </c>
      <c r="C224" t="s">
        <v>995</v>
      </c>
      <c r="D224" t="s">
        <v>996</v>
      </c>
      <c r="E224" t="s">
        <v>997</v>
      </c>
      <c r="F224" t="s">
        <v>998</v>
      </c>
      <c r="G224" t="s">
        <v>39</v>
      </c>
      <c r="H224" t="s">
        <v>999</v>
      </c>
      <c r="I224" t="s">
        <v>1000</v>
      </c>
      <c r="J224" s="6" t="str">
        <f t="shared" si="18"/>
        <v>ROSL CLAIMED</v>
      </c>
      <c r="K224" s="6" t="str">
        <f>IF(J224="","",IF(J224="ROSL CLAIMED","ROSL CLAIMED","ROSL NOT CLAIMED"))</f>
        <v>ROSL CLAIMED</v>
      </c>
      <c r="L224" s="8" t="str">
        <f t="shared" si="19"/>
        <v>NULL</v>
      </c>
      <c r="M224" s="6">
        <f t="shared" si="20"/>
        <v>1</v>
      </c>
      <c r="N224" s="9">
        <f t="shared" ca="1" si="21"/>
        <v>2964</v>
      </c>
      <c r="O224" s="6" t="str">
        <f t="shared" si="22"/>
        <v>GST Paid</v>
      </c>
      <c r="P224" t="str">
        <f t="shared" si="23"/>
        <v xml:space="preserve">TUGLAKABAD ICD (INTKD6) - Current Que LEO Date EP Copy Print Status DBK Scroll No Scroll Date EGM Integration Status
HIST  16 OCT 2017 00:10  Y  N.A.  N.A.  Y </v>
      </c>
    </row>
    <row r="225" spans="1:16">
      <c r="A225" t="s">
        <v>16</v>
      </c>
      <c r="B225">
        <v>9212445</v>
      </c>
      <c r="C225" t="s">
        <v>1001</v>
      </c>
      <c r="D225" t="s">
        <v>1002</v>
      </c>
      <c r="E225" t="s">
        <v>1003</v>
      </c>
      <c r="F225" t="s">
        <v>1004</v>
      </c>
      <c r="G225" t="s">
        <v>21</v>
      </c>
      <c r="H225" t="s">
        <v>1005</v>
      </c>
      <c r="I225" t="s">
        <v>1006</v>
      </c>
      <c r="J225" s="6" t="str">
        <f t="shared" si="18"/>
        <v>ROSL NOT CLAIMED</v>
      </c>
      <c r="K225" s="6" t="str">
        <f>IF(J225="","",IF(J225="ROSL CLAIMED","ROSL CLAIMED","ROSL NOT CLAIMED"))</f>
        <v>ROSL NOT CLAIMED</v>
      </c>
      <c r="L225" s="8" t="str">
        <f t="shared" si="19"/>
        <v xml:space="preserve">06.84  0  2416 </v>
      </c>
      <c r="M225" s="6">
        <f t="shared" si="20"/>
        <v>0</v>
      </c>
      <c r="N225" s="9">
        <f t="shared" ca="1" si="21"/>
        <v>2963</v>
      </c>
      <c r="O225" s="6" t="str">
        <f t="shared" si="22"/>
        <v>GST Paid</v>
      </c>
      <c r="P225" t="str">
        <f t="shared" si="23"/>
        <v xml:space="preserve">TUGLAKABAD ICD (INTKD6) - Current Que LEO Date EP Copy Print Status DBK Scroll No Scroll Date EGM Integration Status
HIST  12 OCT 2017 00:10  Y  22374/2017  31 OCT 2017 00:10  Y </v>
      </c>
    </row>
    <row r="226" spans="1:16">
      <c r="A226" t="s">
        <v>16</v>
      </c>
      <c r="B226">
        <v>9225719</v>
      </c>
      <c r="C226" t="s">
        <v>1001</v>
      </c>
      <c r="D226" t="s">
        <v>1007</v>
      </c>
      <c r="E226" t="s">
        <v>1008</v>
      </c>
      <c r="F226" t="s">
        <v>1009</v>
      </c>
      <c r="G226" t="s">
        <v>21</v>
      </c>
      <c r="H226" t="s">
        <v>1010</v>
      </c>
      <c r="I226" t="s">
        <v>34</v>
      </c>
      <c r="J226" s="6" t="str">
        <f t="shared" si="18"/>
        <v>ROSL NOT CLAIMED</v>
      </c>
      <c r="K226" s="6" t="str">
        <f>IF(J226="","",IF(J226="ROSL CLAIMED","ROSL CLAIMED","ROSL NOT CLAIMED"))</f>
        <v>ROSL NOT CLAIMED</v>
      </c>
      <c r="L226" s="8" t="str">
        <f t="shared" si="19"/>
        <v>NULL</v>
      </c>
      <c r="M226" s="6">
        <f t="shared" si="20"/>
        <v>0</v>
      </c>
      <c r="N226" s="9">
        <f t="shared" ca="1" si="21"/>
        <v>2963</v>
      </c>
      <c r="O226" s="6" t="str">
        <f t="shared" si="22"/>
        <v>GST Paid</v>
      </c>
      <c r="P226" t="str">
        <f t="shared" si="23"/>
        <v xml:space="preserve">TUGLAKABAD ICD (INTKD6) - Current Que LEO Date EP Copy Print Status DBK Scroll No Scroll Date EGM Integration Status
HIST  13 OCT 2017 00:10  Y  22374/2017  31 OCT 2017 00:10  Y </v>
      </c>
    </row>
    <row r="227" spans="1:16">
      <c r="A227" t="s">
        <v>16</v>
      </c>
      <c r="B227">
        <v>9226280</v>
      </c>
      <c r="C227" t="s">
        <v>1001</v>
      </c>
      <c r="D227" t="s">
        <v>1011</v>
      </c>
      <c r="E227" t="s">
        <v>1012</v>
      </c>
      <c r="F227" t="s">
        <v>1013</v>
      </c>
      <c r="G227" t="s">
        <v>21</v>
      </c>
      <c r="H227" t="s">
        <v>1014</v>
      </c>
      <c r="I227" t="s">
        <v>1015</v>
      </c>
      <c r="J227" s="6" t="str">
        <f t="shared" si="18"/>
        <v>ROSL NOT CLAIMED</v>
      </c>
      <c r="K227" s="6" t="str">
        <f>IF(J227="","",IF(J227="ROSL CLAIMED","ROSL CLAIMED","ROSL NOT CLAIMED"))</f>
        <v>ROSL NOT CLAIMED</v>
      </c>
      <c r="L227" s="8" t="str">
        <f t="shared" si="19"/>
        <v>NULL</v>
      </c>
      <c r="M227" s="6">
        <f t="shared" si="20"/>
        <v>0</v>
      </c>
      <c r="N227" s="9">
        <f t="shared" ca="1" si="21"/>
        <v>2963</v>
      </c>
      <c r="O227" s="6" t="str">
        <f t="shared" si="22"/>
        <v>GST Paid</v>
      </c>
      <c r="P227" t="str">
        <f t="shared" si="23"/>
        <v xml:space="preserve">TUGLAKABAD ICD (INTKD6) - Current Que LEO Date EP Copy Print Status DBK Scroll No Scroll Date EGM Integration Status
HIST  13 OCT 2017 00:10  Y  22528/2017  10 NOV 2017 00:11  Y </v>
      </c>
    </row>
    <row r="228" spans="1:16">
      <c r="A228" t="s">
        <v>16</v>
      </c>
      <c r="B228">
        <v>9234919</v>
      </c>
      <c r="C228" t="s">
        <v>1016</v>
      </c>
      <c r="D228" t="s">
        <v>1017</v>
      </c>
      <c r="E228" t="s">
        <v>1018</v>
      </c>
      <c r="F228" t="s">
        <v>1019</v>
      </c>
      <c r="G228" t="s">
        <v>21</v>
      </c>
      <c r="H228" t="s">
        <v>1020</v>
      </c>
      <c r="I228" t="s">
        <v>893</v>
      </c>
      <c r="J228" s="6" t="str">
        <f t="shared" si="18"/>
        <v>ROSL NOT CLAIMED</v>
      </c>
      <c r="K228" s="6" t="str">
        <f>IF(J228="","",IF(J228="ROSL CLAIMED","ROSL CLAIMED","ROSL NOT CLAIMED"))</f>
        <v>ROSL NOT CLAIMED</v>
      </c>
      <c r="L228" s="8" t="str">
        <f t="shared" si="19"/>
        <v>NULL</v>
      </c>
      <c r="M228" s="6">
        <f t="shared" si="20"/>
        <v>0</v>
      </c>
      <c r="N228" s="9">
        <f t="shared" ca="1" si="21"/>
        <v>2962</v>
      </c>
      <c r="O228" s="6" t="str">
        <f t="shared" si="22"/>
        <v>GST Paid</v>
      </c>
      <c r="P228" t="str">
        <f t="shared" si="23"/>
        <v xml:space="preserve">TUGLAKABAD ICD (INTKD6) - Current Que LEO Date EP Copy Print Status DBK Scroll No Scroll Date EGM Integration Status
HIST  16 OCT 2017 00:10  Y  22374/2017  31 OCT 2017 00:10  Y </v>
      </c>
    </row>
    <row r="229" spans="1:16">
      <c r="A229" t="s">
        <v>16</v>
      </c>
      <c r="B229">
        <v>9246037</v>
      </c>
      <c r="C229" t="s">
        <v>1016</v>
      </c>
      <c r="D229" t="s">
        <v>1021</v>
      </c>
      <c r="E229" t="s">
        <v>1022</v>
      </c>
      <c r="F229" t="s">
        <v>1023</v>
      </c>
      <c r="G229" t="s">
        <v>21</v>
      </c>
      <c r="H229" t="s">
        <v>1024</v>
      </c>
      <c r="I229" t="s">
        <v>1025</v>
      </c>
      <c r="J229" s="6" t="str">
        <f t="shared" si="18"/>
        <v>ROSL NOT CLAIMED</v>
      </c>
      <c r="K229" s="6" t="str">
        <f>IF(J229="","",IF(J229="ROSL CLAIMED","ROSL CLAIMED","ROSL NOT CLAIMED"))</f>
        <v>ROSL NOT CLAIMED</v>
      </c>
      <c r="L229" s="8" t="str">
        <f t="shared" si="19"/>
        <v xml:space="preserve">064  0  18064  </v>
      </c>
      <c r="M229" s="6">
        <f t="shared" si="20"/>
        <v>0</v>
      </c>
      <c r="N229" s="9">
        <f t="shared" ca="1" si="21"/>
        <v>2962</v>
      </c>
      <c r="O229" s="6" t="str">
        <f t="shared" si="22"/>
        <v>GST Paid</v>
      </c>
      <c r="P229" t="str">
        <f t="shared" si="23"/>
        <v xml:space="preserve">TUGLAKABAD ICD (INTKD6) - Current Que LEO Date EP Copy Print Status DBK Scroll No Scroll Date EGM Integration Status
HIST  17 OCT 2017 00:10  Y  22374/2017  31 OCT 2017 00:10  Y </v>
      </c>
    </row>
    <row r="230" spans="1:16">
      <c r="A230" t="s">
        <v>16</v>
      </c>
      <c r="B230">
        <v>9312599</v>
      </c>
      <c r="C230" t="s">
        <v>1026</v>
      </c>
      <c r="D230" t="s">
        <v>1027</v>
      </c>
      <c r="E230" t="s">
        <v>1028</v>
      </c>
      <c r="F230" t="s">
        <v>1029</v>
      </c>
      <c r="G230" t="s">
        <v>39</v>
      </c>
      <c r="H230" t="s">
        <v>1030</v>
      </c>
      <c r="I230" t="s">
        <v>34</v>
      </c>
      <c r="J230" s="6" t="str">
        <f t="shared" si="18"/>
        <v>ROSL CLAIMED</v>
      </c>
      <c r="K230" s="6" t="str">
        <f>IF(J230="","",IF(J230="ROSL CLAIMED","ROSL CLAIMED","ROSL NOT CLAIMED"))</f>
        <v>ROSL CLAIMED</v>
      </c>
      <c r="L230" s="8" t="str">
        <f t="shared" si="19"/>
        <v>NULL</v>
      </c>
      <c r="M230" s="6">
        <f t="shared" si="20"/>
        <v>1</v>
      </c>
      <c r="N230" s="9">
        <f t="shared" ca="1" si="21"/>
        <v>2958</v>
      </c>
      <c r="O230" s="6" t="str">
        <f t="shared" si="22"/>
        <v>GST Paid</v>
      </c>
      <c r="P230" t="str">
        <f t="shared" si="23"/>
        <v xml:space="preserve">TUGLAKABAD ICD (INTKD6) - Current Que LEO Date EP Copy Print Status DBK Scroll No Scroll Date EGM Integration Status
HIST  17 OCT 2017 00:10  Y  N.A.  N.A.  Y </v>
      </c>
    </row>
    <row r="231" spans="1:16">
      <c r="A231" t="s">
        <v>16</v>
      </c>
      <c r="B231">
        <v>9323426</v>
      </c>
      <c r="C231" t="s">
        <v>1026</v>
      </c>
      <c r="D231" t="s">
        <v>1031</v>
      </c>
      <c r="E231" t="s">
        <v>1032</v>
      </c>
      <c r="F231" t="s">
        <v>1033</v>
      </c>
      <c r="G231" t="s">
        <v>21</v>
      </c>
      <c r="H231" t="s">
        <v>1034</v>
      </c>
      <c r="I231" t="s">
        <v>1035</v>
      </c>
      <c r="J231" s="6" t="str">
        <f t="shared" si="18"/>
        <v>ROSL NOT CLAIMED</v>
      </c>
      <c r="K231" s="6" t="str">
        <f>IF(J231="","",IF(J231="ROSL CLAIMED","ROSL CLAIMED","ROSL NOT CLAIMED"))</f>
        <v>ROSL NOT CLAIMED</v>
      </c>
      <c r="L231" s="8" t="str">
        <f t="shared" si="19"/>
        <v xml:space="preserve">06.1  0  5026  </v>
      </c>
      <c r="M231" s="6">
        <f t="shared" si="20"/>
        <v>0</v>
      </c>
      <c r="N231" s="9">
        <f t="shared" ca="1" si="21"/>
        <v>2958</v>
      </c>
      <c r="O231" s="6" t="str">
        <f t="shared" si="22"/>
        <v>GST Paid</v>
      </c>
      <c r="P231" t="str">
        <f t="shared" si="23"/>
        <v xml:space="preserve">TUGLAKABAD ICD (INTKD6) - Current Que LEO Date EP Copy Print Status DBK Scroll No Scroll Date EGM Integration Status
HIST  30 OCT 2017 00:10  Y  22528/2017  10 NOV 2017 00:11  Y </v>
      </c>
    </row>
    <row r="232" spans="1:16">
      <c r="A232" t="s">
        <v>16</v>
      </c>
      <c r="B232">
        <v>9330767</v>
      </c>
      <c r="C232" t="s">
        <v>1026</v>
      </c>
      <c r="D232" t="s">
        <v>1036</v>
      </c>
      <c r="E232" t="s">
        <v>1037</v>
      </c>
      <c r="F232" t="s">
        <v>1038</v>
      </c>
      <c r="G232" t="s">
        <v>39</v>
      </c>
      <c r="H232" t="s">
        <v>1039</v>
      </c>
      <c r="I232" t="s">
        <v>1000</v>
      </c>
      <c r="J232" s="6" t="str">
        <f t="shared" si="18"/>
        <v>ROSL CLAIMED</v>
      </c>
      <c r="K232" s="6" t="str">
        <f>IF(J232="","",IF(J232="ROSL CLAIMED","ROSL CLAIMED","ROSL NOT CLAIMED"))</f>
        <v>ROSL CLAIMED</v>
      </c>
      <c r="L232" s="8" t="str">
        <f t="shared" si="19"/>
        <v>NULL</v>
      </c>
      <c r="M232" s="6">
        <f t="shared" si="20"/>
        <v>1</v>
      </c>
      <c r="N232" s="9">
        <f t="shared" ca="1" si="21"/>
        <v>2958</v>
      </c>
      <c r="O232" s="6" t="str">
        <f t="shared" si="22"/>
        <v>GST Paid</v>
      </c>
      <c r="P232" t="str">
        <f t="shared" si="23"/>
        <v xml:space="preserve">TUGLAKABAD ICD (INTKD6) - Current Que LEO Date EP Copy Print Status DBK Scroll No Scroll Date EGM Integration Status
HIST  18 OCT 2017 00:10  Y  N.A.  N.A.  Y </v>
      </c>
    </row>
    <row r="233" spans="1:16">
      <c r="A233" t="s">
        <v>16</v>
      </c>
      <c r="B233">
        <v>9344909</v>
      </c>
      <c r="C233" t="s">
        <v>1040</v>
      </c>
      <c r="D233" t="s">
        <v>1041</v>
      </c>
      <c r="E233" t="s">
        <v>1028</v>
      </c>
      <c r="F233" t="s">
        <v>1042</v>
      </c>
      <c r="G233" t="s">
        <v>39</v>
      </c>
      <c r="H233" t="s">
        <v>1043</v>
      </c>
      <c r="I233" t="s">
        <v>1044</v>
      </c>
      <c r="J233" s="6" t="str">
        <f t="shared" si="18"/>
        <v>ROSL CLAIMED</v>
      </c>
      <c r="K233" s="6" t="str">
        <f>IF(J233="","",IF(J233="ROSL CLAIMED","ROSL CLAIMED","ROSL NOT CLAIMED"))</f>
        <v>ROSL CLAIMED</v>
      </c>
      <c r="L233" s="8" t="str">
        <f t="shared" si="19"/>
        <v>060855  AMJPS30</v>
      </c>
      <c r="M233" s="6">
        <f t="shared" si="20"/>
        <v>1</v>
      </c>
      <c r="N233" s="9">
        <f t="shared" ca="1" si="21"/>
        <v>2957</v>
      </c>
      <c r="O233" s="6" t="str">
        <f t="shared" si="22"/>
        <v>GST Paid</v>
      </c>
      <c r="P233" t="str">
        <f t="shared" si="23"/>
        <v xml:space="preserve">TUGLAKABAD ICD (INTKD6) - Current Que LEO Date EP Copy Print Status DBK Scroll No Scroll Date EGM Integration Status
HIST  17 OCT 2017 00:10  Y  N.A.  N.A.  Y </v>
      </c>
    </row>
    <row r="234" spans="1:16">
      <c r="A234" t="s">
        <v>16</v>
      </c>
      <c r="B234">
        <v>9346238</v>
      </c>
      <c r="C234" t="s">
        <v>1040</v>
      </c>
      <c r="D234" t="s">
        <v>1045</v>
      </c>
      <c r="E234" t="s">
        <v>1046</v>
      </c>
      <c r="F234" t="s">
        <v>1047</v>
      </c>
      <c r="G234" t="s">
        <v>39</v>
      </c>
      <c r="H234" t="s">
        <v>1048</v>
      </c>
      <c r="I234" t="s">
        <v>1049</v>
      </c>
      <c r="J234" s="6" t="str">
        <f t="shared" si="18"/>
        <v>ROSL CLAIMED</v>
      </c>
      <c r="K234" s="6" t="str">
        <f>IF(J234="","",IF(J234="ROSL CLAIMED","ROSL CLAIMED","ROSL NOT CLAIMED"))</f>
        <v>ROSL CLAIMED</v>
      </c>
      <c r="L234" s="8" t="str">
        <f t="shared" si="19"/>
        <v>06102  17 OCT 2</v>
      </c>
      <c r="M234" s="6">
        <f t="shared" si="20"/>
        <v>1</v>
      </c>
      <c r="N234" s="9">
        <f t="shared" ca="1" si="21"/>
        <v>2957</v>
      </c>
      <c r="O234" s="6" t="str">
        <f t="shared" si="22"/>
        <v>GST Paid</v>
      </c>
      <c r="P234" t="str">
        <f t="shared" si="23"/>
        <v xml:space="preserve">TUGLAKABAD ICD (INTKD6) - Current Que LEO Date EP Copy Print Status DBK Scroll No Scroll Date EGM Integration Status
HIST  24 OCT 2017 00:10  Y  N.A.  N.A.  Y </v>
      </c>
    </row>
    <row r="235" spans="1:16">
      <c r="A235" t="s">
        <v>16</v>
      </c>
      <c r="B235">
        <v>9353344</v>
      </c>
      <c r="C235" t="s">
        <v>1040</v>
      </c>
      <c r="D235" t="s">
        <v>1050</v>
      </c>
      <c r="E235" t="s">
        <v>1037</v>
      </c>
      <c r="F235" t="s">
        <v>1051</v>
      </c>
      <c r="G235" t="s">
        <v>39</v>
      </c>
      <c r="H235" t="s">
        <v>1052</v>
      </c>
      <c r="I235" t="s">
        <v>1053</v>
      </c>
      <c r="J235" s="6" t="str">
        <f t="shared" si="18"/>
        <v>ROSL CLAIMED</v>
      </c>
      <c r="K235" s="6" t="str">
        <f>IF(J235="","",IF(J235="ROSL CLAIMED","ROSL CLAIMED","ROSL NOT CLAIMED"))</f>
        <v>ROSL CLAIMED</v>
      </c>
      <c r="L235" s="8" t="str">
        <f t="shared" si="19"/>
        <v>NULL</v>
      </c>
      <c r="M235" s="6">
        <f t="shared" si="20"/>
        <v>1</v>
      </c>
      <c r="N235" s="9">
        <f t="shared" ca="1" si="21"/>
        <v>2957</v>
      </c>
      <c r="O235" s="6" t="str">
        <f t="shared" si="22"/>
        <v>GST Paid</v>
      </c>
      <c r="P235" t="str">
        <f t="shared" si="23"/>
        <v xml:space="preserve">TUGLAKABAD ICD (INTKD6) - Current Que LEO Date EP Copy Print Status DBK Scroll No Scroll Date EGM Integration Status
HIST  18 OCT 2017 00:10  Y  N.A.  N.A.  Y </v>
      </c>
    </row>
    <row r="236" spans="1:16">
      <c r="A236" t="s">
        <v>16</v>
      </c>
      <c r="B236">
        <v>9361492</v>
      </c>
      <c r="C236" t="s">
        <v>1040</v>
      </c>
      <c r="D236" t="s">
        <v>1054</v>
      </c>
      <c r="E236" t="s">
        <v>1055</v>
      </c>
      <c r="F236" t="s">
        <v>1019</v>
      </c>
      <c r="G236" t="s">
        <v>39</v>
      </c>
      <c r="H236" t="s">
        <v>1056</v>
      </c>
      <c r="I236" t="s">
        <v>34</v>
      </c>
      <c r="J236" s="6" t="str">
        <f t="shared" si="18"/>
        <v>ROSL CLAIMED</v>
      </c>
      <c r="K236" s="6" t="str">
        <f>IF(J236="","",IF(J236="ROSL CLAIMED","ROSL CLAIMED","ROSL NOT CLAIMED"))</f>
        <v>ROSL CLAIMED</v>
      </c>
      <c r="L236" s="8" t="str">
        <f t="shared" si="19"/>
        <v xml:space="preserve">06  194300.45  </v>
      </c>
      <c r="M236" s="6">
        <f t="shared" si="20"/>
        <v>1</v>
      </c>
      <c r="N236" s="9">
        <f t="shared" ca="1" si="21"/>
        <v>2957</v>
      </c>
      <c r="O236" s="6" t="str">
        <f t="shared" si="22"/>
        <v>GST Paid</v>
      </c>
      <c r="P236" t="str">
        <f t="shared" si="23"/>
        <v xml:space="preserve">TUGLAKABAD ICD (INTKD6) - Current Que LEO Date EP Copy Print Status DBK Scroll No Scroll Date EGM Integration Status
HIST  20 OCT 2017 00:10  Y  N.A.  N.A.  Y </v>
      </c>
    </row>
    <row r="237" spans="1:16">
      <c r="A237" t="s">
        <v>16</v>
      </c>
      <c r="B237">
        <v>9425848</v>
      </c>
      <c r="C237" t="s">
        <v>1057</v>
      </c>
      <c r="D237" t="s">
        <v>1058</v>
      </c>
      <c r="E237" t="s">
        <v>1059</v>
      </c>
      <c r="F237" t="s">
        <v>1060</v>
      </c>
      <c r="G237" t="s">
        <v>1061</v>
      </c>
      <c r="H237" t="s">
        <v>1062</v>
      </c>
      <c r="I237" t="s">
        <v>252</v>
      </c>
      <c r="J237" s="6" t="str">
        <f t="shared" si="18"/>
        <v>NULL</v>
      </c>
      <c r="K237" s="6" t="str">
        <f>IF(J237="","",IF(J237="ROSL CLAIMED","ROSL CLAIMED","ROSL NOT CLAIMED"))</f>
        <v>ROSL NOT CLAIMED</v>
      </c>
      <c r="L237" s="8" t="str">
        <f t="shared" si="19"/>
        <v>NULL</v>
      </c>
      <c r="M237" s="6">
        <f t="shared" si="20"/>
        <v>0</v>
      </c>
      <c r="N237" s="9">
        <f t="shared" ca="1" si="21"/>
        <v>2951</v>
      </c>
      <c r="O237" s="6" t="str">
        <f t="shared" si="22"/>
        <v>GST Paid</v>
      </c>
      <c r="P237" t="str">
        <f t="shared" si="23"/>
        <v xml:space="preserve">TUGLAKABAD ICD (INTKD6) - Current Que LEO Date EP Copy Print Status DBK Scroll No Scroll Date EGM Integration Status
HIST  23 OCT 2017 00:10  Y  24432/2018  25 MAR 2018 00:03  Y </v>
      </c>
    </row>
    <row r="238" spans="1:16">
      <c r="A238" t="s">
        <v>16</v>
      </c>
      <c r="B238">
        <v>9474719</v>
      </c>
      <c r="C238" t="s">
        <v>1063</v>
      </c>
      <c r="D238" t="s">
        <v>1064</v>
      </c>
      <c r="E238" t="s">
        <v>1065</v>
      </c>
      <c r="F238" t="s">
        <v>1066</v>
      </c>
      <c r="G238" t="s">
        <v>21</v>
      </c>
      <c r="H238" t="s">
        <v>1067</v>
      </c>
      <c r="I238" t="s">
        <v>1068</v>
      </c>
      <c r="J238" s="6" t="str">
        <f t="shared" si="18"/>
        <v>ROSL NOT CLAIMED</v>
      </c>
      <c r="K238" s="6" t="str">
        <f>IF(J238="","",IF(J238="ROSL CLAIMED","ROSL CLAIMED","ROSL NOT CLAIMED"))</f>
        <v>ROSL NOT CLAIMED</v>
      </c>
      <c r="L238" s="8" t="str">
        <f t="shared" si="19"/>
        <v>NULL</v>
      </c>
      <c r="M238" s="6">
        <f t="shared" si="20"/>
        <v>0</v>
      </c>
      <c r="N238" s="9">
        <f t="shared" ca="1" si="21"/>
        <v>2949</v>
      </c>
      <c r="O238" s="6" t="str">
        <f t="shared" si="22"/>
        <v>GST Paid</v>
      </c>
      <c r="P238" t="str">
        <f t="shared" si="23"/>
        <v xml:space="preserve">TUGLAKABAD ICD (INTKD6) - Current Que LEO Date EP Copy Print Status DBK Scroll No Scroll Date EGM Integration Status
HIST  26 OCT 2017 00:10  Y  22528/2017  10 NOV 2017 00:11  Y </v>
      </c>
    </row>
    <row r="239" spans="1:16">
      <c r="A239" t="s">
        <v>16</v>
      </c>
      <c r="B239">
        <v>9492580</v>
      </c>
      <c r="C239" t="s">
        <v>1069</v>
      </c>
      <c r="D239" t="s">
        <v>1070</v>
      </c>
      <c r="E239" t="s">
        <v>1071</v>
      </c>
      <c r="F239" t="s">
        <v>1072</v>
      </c>
      <c r="G239" t="s">
        <v>21</v>
      </c>
      <c r="H239" t="s">
        <v>1073</v>
      </c>
      <c r="I239" t="s">
        <v>1074</v>
      </c>
      <c r="J239" s="6" t="str">
        <f t="shared" si="18"/>
        <v>ROSL NOT CLAIMED</v>
      </c>
      <c r="K239" s="6" t="str">
        <f>IF(J239="","",IF(J239="ROSL CLAIMED","ROSL CLAIMED","ROSL NOT CLAIMED"))</f>
        <v>ROSL NOT CLAIMED</v>
      </c>
      <c r="L239" s="8" t="str">
        <f t="shared" si="19"/>
        <v>NULL</v>
      </c>
      <c r="M239" s="6">
        <f t="shared" si="20"/>
        <v>0</v>
      </c>
      <c r="N239" s="9">
        <f t="shared" ca="1" si="21"/>
        <v>2948</v>
      </c>
      <c r="O239" s="6" t="str">
        <f t="shared" si="22"/>
        <v>GST Paid</v>
      </c>
      <c r="P239" t="str">
        <f t="shared" si="23"/>
        <v xml:space="preserve">TUGLAKABAD ICD (INTKD6) - Current Que LEO Date EP Copy Print Status DBK Scroll No Scroll Date EGM Integration Status
HIST  28 OCT 2017 00:10  Y  22528/2017  10 NOV 2017 00:11  Y </v>
      </c>
    </row>
    <row r="240" spans="1:16">
      <c r="A240" t="s">
        <v>16</v>
      </c>
      <c r="B240">
        <v>9510284</v>
      </c>
      <c r="C240" t="s">
        <v>1069</v>
      </c>
      <c r="D240" t="s">
        <v>1075</v>
      </c>
      <c r="E240" t="s">
        <v>1076</v>
      </c>
      <c r="F240" t="s">
        <v>1077</v>
      </c>
      <c r="G240" t="s">
        <v>21</v>
      </c>
      <c r="H240" t="s">
        <v>1078</v>
      </c>
      <c r="I240" t="s">
        <v>1079</v>
      </c>
      <c r="J240" s="6" t="str">
        <f t="shared" si="18"/>
        <v>ROSL NOT CLAIMED</v>
      </c>
      <c r="K240" s="6" t="str">
        <f>IF(J240="","",IF(J240="ROSL CLAIMED","ROSL CLAIMED","ROSL NOT CLAIMED"))</f>
        <v>ROSL NOT CLAIMED</v>
      </c>
      <c r="L240" s="8" t="str">
        <f t="shared" si="19"/>
        <v>064754  FHMPS10</v>
      </c>
      <c r="M240" s="6">
        <f t="shared" si="20"/>
        <v>0</v>
      </c>
      <c r="N240" s="9">
        <f t="shared" ca="1" si="21"/>
        <v>2948</v>
      </c>
      <c r="O240" s="6" t="str">
        <f t="shared" si="22"/>
        <v>GST Paid</v>
      </c>
      <c r="P240" t="str">
        <f t="shared" si="23"/>
        <v xml:space="preserve">TUGLAKABAD ICD (INTKD6) - Current Que LEO Date EP Copy Print Status DBK Scroll No Scroll Date EGM Integration Status
HIST  27 OCT 2017 00:10  Y  22753/2017  24 NOV 2017 00:11  Y </v>
      </c>
    </row>
    <row r="241" spans="1:16">
      <c r="A241" t="s">
        <v>16</v>
      </c>
      <c r="B241">
        <v>9522381</v>
      </c>
      <c r="C241" t="s">
        <v>1080</v>
      </c>
      <c r="D241" t="s">
        <v>1081</v>
      </c>
      <c r="E241" t="s">
        <v>1082</v>
      </c>
      <c r="F241" t="s">
        <v>1083</v>
      </c>
      <c r="G241" t="s">
        <v>39</v>
      </c>
      <c r="H241" t="s">
        <v>1084</v>
      </c>
      <c r="I241" t="s">
        <v>1085</v>
      </c>
      <c r="J241" s="6" t="str">
        <f t="shared" si="18"/>
        <v>ROSL CLAIMED</v>
      </c>
      <c r="K241" s="6" t="str">
        <f>IF(J241="","",IF(J241="ROSL CLAIMED","ROSL CLAIMED","ROSL NOT CLAIMED"))</f>
        <v>ROSL CLAIMED</v>
      </c>
      <c r="L241" s="8" t="str">
        <f t="shared" si="19"/>
        <v>0617QCH001  699</v>
      </c>
      <c r="M241" s="6">
        <f t="shared" si="20"/>
        <v>1</v>
      </c>
      <c r="N241" s="9">
        <f t="shared" ca="1" si="21"/>
        <v>2947</v>
      </c>
      <c r="O241" s="6" t="str">
        <f t="shared" si="22"/>
        <v>GST Paid</v>
      </c>
      <c r="P241" t="str">
        <f t="shared" si="23"/>
        <v xml:space="preserve">TUGLAKABAD ICD (INTKD6) - Current Que LEO Date EP Copy Print Status DBK Scroll No Scroll Date EGM Integration Status
HIST  01 NOV 2017 00:11  Y  N.A.  N.A.  Y </v>
      </c>
    </row>
    <row r="242" spans="1:16">
      <c r="A242" t="s">
        <v>16</v>
      </c>
      <c r="B242">
        <v>9531547</v>
      </c>
      <c r="C242" t="s">
        <v>1080</v>
      </c>
      <c r="D242" t="s">
        <v>1086</v>
      </c>
      <c r="E242" t="s">
        <v>1087</v>
      </c>
      <c r="F242" t="s">
        <v>1088</v>
      </c>
      <c r="G242" t="s">
        <v>39</v>
      </c>
      <c r="H242" t="s">
        <v>1089</v>
      </c>
      <c r="I242" t="s">
        <v>1090</v>
      </c>
      <c r="J242" s="6" t="str">
        <f t="shared" si="18"/>
        <v>ROSL CLAIMED</v>
      </c>
      <c r="K242" s="6" t="str">
        <f>IF(J242="","",IF(J242="ROSL CLAIMED","ROSL CLAIMED","ROSL NOT CLAIMED"))</f>
        <v>ROSL CLAIMED</v>
      </c>
      <c r="L242" s="8" t="str">
        <f t="shared" si="19"/>
        <v>NULL</v>
      </c>
      <c r="M242" s="6">
        <f t="shared" si="20"/>
        <v>1</v>
      </c>
      <c r="N242" s="9">
        <f t="shared" ca="1" si="21"/>
        <v>2947</v>
      </c>
      <c r="O242" s="6" t="str">
        <f t="shared" si="22"/>
        <v>GST Paid</v>
      </c>
      <c r="P242" t="str">
        <f t="shared" si="23"/>
        <v xml:space="preserve">TUGLAKABAD ICD (INTKD6) - Current Que LEO Date EP Copy Print Status DBK Scroll No Scroll Date EGM Integration Status
HIST  30 OCT 2017 00:10  Y  N.A.  N.A.  Y </v>
      </c>
    </row>
    <row r="243" spans="1:16">
      <c r="A243" t="s">
        <v>16</v>
      </c>
      <c r="B243">
        <v>9535945</v>
      </c>
      <c r="C243" t="s">
        <v>1080</v>
      </c>
      <c r="D243" t="s">
        <v>1091</v>
      </c>
      <c r="E243" t="s">
        <v>1032</v>
      </c>
      <c r="F243" t="s">
        <v>1092</v>
      </c>
      <c r="G243" t="s">
        <v>21</v>
      </c>
      <c r="H243" t="s">
        <v>1093</v>
      </c>
      <c r="I243" t="s">
        <v>1094</v>
      </c>
      <c r="J243" s="6" t="str">
        <f t="shared" si="18"/>
        <v>ROSL NOT CLAIMED</v>
      </c>
      <c r="K243" s="6" t="str">
        <f>IF(J243="","",IF(J243="ROSL CLAIMED","ROSL CLAIMED","ROSL NOT CLAIMED"))</f>
        <v>ROSL NOT CLAIMED</v>
      </c>
      <c r="L243" s="8" t="str">
        <f t="shared" si="19"/>
        <v>NULL</v>
      </c>
      <c r="M243" s="6">
        <f t="shared" si="20"/>
        <v>0</v>
      </c>
      <c r="N243" s="9">
        <f t="shared" ca="1" si="21"/>
        <v>2947</v>
      </c>
      <c r="O243" s="6" t="str">
        <f t="shared" si="22"/>
        <v>GST Paid</v>
      </c>
      <c r="P243" t="str">
        <f t="shared" si="23"/>
        <v xml:space="preserve">TUGLAKABAD ICD (INTKD6) - Current Que LEO Date EP Copy Print Status DBK Scroll No Scroll Date EGM Integration Status
HIST  30 OCT 2017 00:10  Y  22528/2017  10 NOV 2017 00:11  Y </v>
      </c>
    </row>
    <row r="244" spans="1:16">
      <c r="A244" t="s">
        <v>16</v>
      </c>
      <c r="B244">
        <v>9536682</v>
      </c>
      <c r="C244" t="s">
        <v>1080</v>
      </c>
      <c r="D244" t="s">
        <v>1095</v>
      </c>
      <c r="E244" t="s">
        <v>1096</v>
      </c>
      <c r="F244" t="s">
        <v>1097</v>
      </c>
      <c r="G244" t="s">
        <v>21</v>
      </c>
      <c r="H244" t="s">
        <v>1098</v>
      </c>
      <c r="I244" t="s">
        <v>1099</v>
      </c>
      <c r="J244" s="6" t="str">
        <f t="shared" si="18"/>
        <v>ROSL NOT CLAIMED</v>
      </c>
      <c r="K244" s="6" t="str">
        <f>IF(J244="","",IF(J244="ROSL CLAIMED","ROSL CLAIMED","ROSL NOT CLAIMED"))</f>
        <v>ROSL NOT CLAIMED</v>
      </c>
      <c r="L244" s="8" t="str">
        <f t="shared" si="19"/>
        <v>NULL</v>
      </c>
      <c r="M244" s="6">
        <f t="shared" si="20"/>
        <v>0</v>
      </c>
      <c r="N244" s="9">
        <f t="shared" ca="1" si="21"/>
        <v>2947</v>
      </c>
      <c r="O244" s="6" t="str">
        <f t="shared" si="22"/>
        <v>GST Paid</v>
      </c>
      <c r="P244" t="str">
        <f t="shared" si="23"/>
        <v xml:space="preserve">TUGLAKABAD ICD (INTKD6) - Current Que LEO Date EP Copy Print Status DBK Scroll No Scroll Date EGM Integration Status
HIST  01 NOV 2017 00:11  Y  22753/2017  24 NOV 2017 00:11  Y </v>
      </c>
    </row>
    <row r="245" spans="1:16">
      <c r="A245" t="s">
        <v>16</v>
      </c>
      <c r="B245">
        <v>9565498</v>
      </c>
      <c r="C245" t="s">
        <v>1100</v>
      </c>
      <c r="D245" t="s">
        <v>1101</v>
      </c>
      <c r="E245" t="s">
        <v>1102</v>
      </c>
      <c r="F245" t="s">
        <v>1103</v>
      </c>
      <c r="G245" t="s">
        <v>39</v>
      </c>
      <c r="H245" t="s">
        <v>1104</v>
      </c>
      <c r="I245" t="s">
        <v>1105</v>
      </c>
      <c r="J245" s="6" t="str">
        <f t="shared" si="18"/>
        <v>ROSL CLAIMED</v>
      </c>
      <c r="K245" s="6" t="str">
        <f>IF(J245="","",IF(J245="ROSL CLAIMED","ROSL CLAIMED","ROSL NOT CLAIMED"))</f>
        <v>ROSL CLAIMED</v>
      </c>
      <c r="L245" s="8" t="str">
        <f t="shared" si="19"/>
        <v>NULL</v>
      </c>
      <c r="M245" s="6">
        <f t="shared" si="20"/>
        <v>1</v>
      </c>
      <c r="N245" s="9">
        <f t="shared" ca="1" si="21"/>
        <v>2944</v>
      </c>
      <c r="O245" s="6" t="str">
        <f t="shared" si="22"/>
        <v>GST Paid</v>
      </c>
      <c r="P245" t="str">
        <f t="shared" si="23"/>
        <v xml:space="preserve">TUGLAKABAD ICD (INTKD6) - Current Que LEO Date EP Copy Print Status DBK Scroll No Scroll Date EGM Integration Status
HIST  02 NOV 2017 00:11  Y  N.A.  N.A.  Y </v>
      </c>
    </row>
    <row r="246" spans="1:16">
      <c r="A246" t="s">
        <v>16</v>
      </c>
      <c r="B246">
        <v>9572277</v>
      </c>
      <c r="C246" t="s">
        <v>1100</v>
      </c>
      <c r="D246" t="s">
        <v>1106</v>
      </c>
      <c r="E246" t="s">
        <v>1107</v>
      </c>
      <c r="F246" t="s">
        <v>1108</v>
      </c>
      <c r="G246" t="s">
        <v>21</v>
      </c>
      <c r="H246" t="s">
        <v>1109</v>
      </c>
      <c r="I246" t="s">
        <v>1110</v>
      </c>
      <c r="J246" s="6" t="str">
        <f t="shared" si="18"/>
        <v>ROSL NOT CLAIMED</v>
      </c>
      <c r="K246" s="6" t="str">
        <f>IF(J246="","",IF(J246="ROSL CLAIMED","ROSL CLAIMED","ROSL NOT CLAIMED"))</f>
        <v>ROSL NOT CLAIMED</v>
      </c>
      <c r="L246" s="8" t="str">
        <f t="shared" si="19"/>
        <v>NULL</v>
      </c>
      <c r="M246" s="6">
        <f t="shared" si="20"/>
        <v>0</v>
      </c>
      <c r="N246" s="9">
        <f t="shared" ca="1" si="21"/>
        <v>2944</v>
      </c>
      <c r="O246" s="6" t="str">
        <f t="shared" si="22"/>
        <v>GST Paid</v>
      </c>
      <c r="P246" t="str">
        <f t="shared" si="23"/>
        <v xml:space="preserve">TUGLAKABAD ICD (INTKD6) - Current Que LEO Date EP Copy Print Status DBK Scroll No Scroll Date EGM Integration Status
HIST  09 NOV 2017 00:11  Y  22753/2017  24 NOV 2017 00:11  Y </v>
      </c>
    </row>
    <row r="247" spans="1:16">
      <c r="A247" t="s">
        <v>16</v>
      </c>
      <c r="B247">
        <v>9575454</v>
      </c>
      <c r="C247" t="s">
        <v>1100</v>
      </c>
      <c r="D247" t="s">
        <v>1111</v>
      </c>
      <c r="E247" t="s">
        <v>1102</v>
      </c>
      <c r="F247" t="s">
        <v>1112</v>
      </c>
      <c r="G247" t="s">
        <v>39</v>
      </c>
      <c r="H247" t="s">
        <v>1113</v>
      </c>
      <c r="I247" t="s">
        <v>1114</v>
      </c>
      <c r="J247" s="6" t="str">
        <f t="shared" si="18"/>
        <v>ROSL CLAIMED</v>
      </c>
      <c r="K247" s="6" t="str">
        <f>IF(J247="","",IF(J247="ROSL CLAIMED","ROSL CLAIMED","ROSL NOT CLAIMED"))</f>
        <v>ROSL CLAIMED</v>
      </c>
      <c r="L247" s="8" t="str">
        <f t="shared" si="19"/>
        <v>NULL</v>
      </c>
      <c r="M247" s="6">
        <f t="shared" si="20"/>
        <v>1</v>
      </c>
      <c r="N247" s="9">
        <f t="shared" ca="1" si="21"/>
        <v>2944</v>
      </c>
      <c r="O247" s="6" t="str">
        <f t="shared" si="22"/>
        <v>GST Paid</v>
      </c>
      <c r="P247" t="str">
        <f t="shared" si="23"/>
        <v xml:space="preserve">TUGLAKABAD ICD (INTKD6) - Current Que LEO Date EP Copy Print Status DBK Scroll No Scroll Date EGM Integration Status
HIST  02 NOV 2017 00:11  Y  N.A.  N.A.  Y </v>
      </c>
    </row>
    <row r="248" spans="1:16">
      <c r="A248" t="s">
        <v>16</v>
      </c>
      <c r="B248">
        <v>9580505</v>
      </c>
      <c r="C248" t="s">
        <v>1100</v>
      </c>
      <c r="D248" t="s">
        <v>1115</v>
      </c>
      <c r="E248" t="s">
        <v>1116</v>
      </c>
      <c r="F248" t="s">
        <v>1117</v>
      </c>
      <c r="G248" t="s">
        <v>21</v>
      </c>
      <c r="H248" t="s">
        <v>1118</v>
      </c>
      <c r="I248" t="s">
        <v>1119</v>
      </c>
      <c r="J248" s="6" t="str">
        <f t="shared" si="18"/>
        <v>ROSL NOT CLAIMED</v>
      </c>
      <c r="K248" s="6" t="str">
        <f>IF(J248="","",IF(J248="ROSL CLAIMED","ROSL CLAIMED","ROSL NOT CLAIMED"))</f>
        <v>ROSL NOT CLAIMED</v>
      </c>
      <c r="L248" s="8" t="str">
        <f t="shared" si="19"/>
        <v>NULL</v>
      </c>
      <c r="M248" s="6">
        <f t="shared" si="20"/>
        <v>0</v>
      </c>
      <c r="N248" s="9">
        <f t="shared" ca="1" si="21"/>
        <v>2944</v>
      </c>
      <c r="O248" s="6" t="str">
        <f t="shared" si="22"/>
        <v>GST Paid</v>
      </c>
      <c r="P248" t="str">
        <f t="shared" si="23"/>
        <v xml:space="preserve">TUGLAKABAD ICD (INTKD6) - Current Que LEO Date EP Copy Print Status DBK Scroll No Scroll Date EGM Integration Status
HIST  10 NOV 2017 00:11  Y  22753/2017  24 NOV 2017 00:11  Y </v>
      </c>
    </row>
    <row r="249" spans="1:16">
      <c r="A249" t="s">
        <v>16</v>
      </c>
      <c r="B249">
        <v>9597287</v>
      </c>
      <c r="C249" t="s">
        <v>1120</v>
      </c>
      <c r="D249" t="s">
        <v>1121</v>
      </c>
      <c r="E249" t="s">
        <v>1102</v>
      </c>
      <c r="F249" t="s">
        <v>1122</v>
      </c>
      <c r="G249" t="s">
        <v>39</v>
      </c>
      <c r="H249" t="s">
        <v>1123</v>
      </c>
      <c r="I249" t="s">
        <v>1124</v>
      </c>
      <c r="J249" s="6" t="str">
        <f t="shared" si="18"/>
        <v>ROSL CLAIMED</v>
      </c>
      <c r="K249" s="6" t="str">
        <f>IF(J249="","",IF(J249="ROSL CLAIMED","ROSL CLAIMED","ROSL NOT CLAIMED"))</f>
        <v>ROSL CLAIMED</v>
      </c>
      <c r="L249" s="8" t="str">
        <f t="shared" si="19"/>
        <v>06059944  AGYPS</v>
      </c>
      <c r="M249" s="6">
        <f t="shared" si="20"/>
        <v>1</v>
      </c>
      <c r="N249" s="9">
        <f t="shared" ca="1" si="21"/>
        <v>2943</v>
      </c>
      <c r="O249" s="6" t="str">
        <f t="shared" si="22"/>
        <v>GST Paid</v>
      </c>
      <c r="P249" t="str">
        <f t="shared" si="23"/>
        <v xml:space="preserve">TUGLAKABAD ICD (INTKD6) - Current Que LEO Date EP Copy Print Status DBK Scroll No Scroll Date EGM Integration Status
HIST  02 NOV 2017 00:11  Y  N.A.  N.A.  Y </v>
      </c>
    </row>
    <row r="250" spans="1:16">
      <c r="A250" t="s">
        <v>16</v>
      </c>
      <c r="B250">
        <v>9603076</v>
      </c>
      <c r="C250" t="s">
        <v>1120</v>
      </c>
      <c r="D250" t="s">
        <v>1125</v>
      </c>
      <c r="E250" t="s">
        <v>1126</v>
      </c>
      <c r="F250" t="s">
        <v>1127</v>
      </c>
      <c r="G250" t="s">
        <v>21</v>
      </c>
      <c r="H250" t="s">
        <v>1128</v>
      </c>
      <c r="I250" t="s">
        <v>1129</v>
      </c>
      <c r="J250" s="6" t="str">
        <f t="shared" si="18"/>
        <v>ROSL NOT CLAIMED</v>
      </c>
      <c r="K250" s="6" t="str">
        <f>IF(J250="","",IF(J250="ROSL CLAIMED","ROSL CLAIMED","ROSL NOT CLAIMED"))</f>
        <v>ROSL NOT CLAIMED</v>
      </c>
      <c r="L250" s="8" t="str">
        <f t="shared" si="19"/>
        <v>NULL</v>
      </c>
      <c r="M250" s="6">
        <f t="shared" si="20"/>
        <v>0</v>
      </c>
      <c r="N250" s="9">
        <f t="shared" ca="1" si="21"/>
        <v>2943</v>
      </c>
      <c r="O250" s="6" t="str">
        <f t="shared" si="22"/>
        <v>GST Paid</v>
      </c>
      <c r="P250" t="str">
        <f t="shared" si="23"/>
        <v xml:space="preserve">TUGLAKABAD ICD (INTKD6) - Current Que LEO Date EP Copy Print Status DBK Scroll No Scroll Date EGM Integration Status
HIST  13 NOV 2017 00:11  Y  22753/2017  24 NOV 2017 00:11  Y </v>
      </c>
    </row>
    <row r="251" spans="1:16">
      <c r="A251" t="s">
        <v>16</v>
      </c>
      <c r="B251">
        <v>9612572</v>
      </c>
      <c r="C251" t="s">
        <v>1120</v>
      </c>
      <c r="D251" t="s">
        <v>1130</v>
      </c>
      <c r="E251" t="s">
        <v>1131</v>
      </c>
      <c r="F251" t="s">
        <v>1132</v>
      </c>
      <c r="G251" t="s">
        <v>21</v>
      </c>
      <c r="H251" t="s">
        <v>1133</v>
      </c>
      <c r="I251" t="s">
        <v>1134</v>
      </c>
      <c r="J251" s="6" t="str">
        <f t="shared" si="18"/>
        <v>ROSL NOT CLAIMED</v>
      </c>
      <c r="K251" s="6" t="str">
        <f>IF(J251="","",IF(J251="ROSL CLAIMED","ROSL CLAIMED","ROSL NOT CLAIMED"))</f>
        <v>ROSL NOT CLAIMED</v>
      </c>
      <c r="L251" s="8" t="str">
        <f t="shared" si="19"/>
        <v>NULL</v>
      </c>
      <c r="M251" s="6">
        <f t="shared" si="20"/>
        <v>0</v>
      </c>
      <c r="N251" s="9">
        <f t="shared" ca="1" si="21"/>
        <v>2943</v>
      </c>
      <c r="O251" s="6" t="str">
        <f t="shared" si="22"/>
        <v>GST Paid</v>
      </c>
      <c r="P251" t="str">
        <f t="shared" si="23"/>
        <v xml:space="preserve">TUGLAKABAD ICD (INTKD6) - Current Que LEO Date EP Copy Print Status DBK Scroll No Scroll Date EGM Integration Status
HIST  08 NOV 2017 00:11  Y  22753/2017  24 NOV 2017 00:11  Y </v>
      </c>
    </row>
    <row r="252" spans="1:16">
      <c r="A252" t="s">
        <v>16</v>
      </c>
      <c r="B252">
        <v>9626392</v>
      </c>
      <c r="C252" t="s">
        <v>1135</v>
      </c>
      <c r="D252" t="s">
        <v>1136</v>
      </c>
      <c r="E252" t="s">
        <v>1137</v>
      </c>
      <c r="F252" t="s">
        <v>1138</v>
      </c>
      <c r="G252" t="s">
        <v>21</v>
      </c>
      <c r="H252" t="s">
        <v>1139</v>
      </c>
      <c r="I252" t="s">
        <v>1140</v>
      </c>
      <c r="J252" s="6" t="str">
        <f t="shared" si="18"/>
        <v>ROSL NOT CLAIMED</v>
      </c>
      <c r="K252" s="6" t="str">
        <f>IF(J252="","",IF(J252="ROSL CLAIMED","ROSL CLAIMED","ROSL NOT CLAIMED"))</f>
        <v>ROSL NOT CLAIMED</v>
      </c>
      <c r="L252" s="8" t="str">
        <f t="shared" si="19"/>
        <v>06LCH002  71033</v>
      </c>
      <c r="M252" s="6">
        <f t="shared" si="20"/>
        <v>0</v>
      </c>
      <c r="N252" s="9">
        <f t="shared" ca="1" si="21"/>
        <v>2942</v>
      </c>
      <c r="O252" s="6" t="str">
        <f t="shared" si="22"/>
        <v>GST Paid</v>
      </c>
      <c r="P252" t="str">
        <f t="shared" si="23"/>
        <v xml:space="preserve">TUGLAKABAD ICD (INTKD6) - Current Que LEO Date EP Copy Print Status DBK Scroll No Scroll Date EGM Integration Status
HIST  07 NOV 2017 00:11  Y  22753/2017  24 NOV 2017 00:11  Y </v>
      </c>
    </row>
    <row r="253" spans="1:16">
      <c r="A253" t="s">
        <v>16</v>
      </c>
      <c r="B253">
        <v>9653631</v>
      </c>
      <c r="C253" t="s">
        <v>1141</v>
      </c>
      <c r="D253" t="s">
        <v>1142</v>
      </c>
      <c r="E253" t="s">
        <v>1143</v>
      </c>
      <c r="F253" t="s">
        <v>1144</v>
      </c>
      <c r="G253" t="s">
        <v>21</v>
      </c>
      <c r="H253" t="s">
        <v>1145</v>
      </c>
      <c r="I253" t="s">
        <v>1146</v>
      </c>
      <c r="J253" s="6" t="str">
        <f t="shared" si="18"/>
        <v>ROSL NOT CLAIMED</v>
      </c>
      <c r="K253" s="6" t="str">
        <f>IF(J253="","",IF(J253="ROSL CLAIMED","ROSL CLAIMED","ROSL NOT CLAIMED"))</f>
        <v>ROSL NOT CLAIMED</v>
      </c>
      <c r="L253" s="8" t="str">
        <f t="shared" si="19"/>
        <v>NULL</v>
      </c>
      <c r="M253" s="6">
        <f t="shared" si="20"/>
        <v>0</v>
      </c>
      <c r="N253" s="9">
        <f t="shared" ca="1" si="21"/>
        <v>2941</v>
      </c>
      <c r="O253" s="6" t="str">
        <f t="shared" si="22"/>
        <v>GST Paid</v>
      </c>
      <c r="P253" t="str">
        <f t="shared" si="23"/>
        <v xml:space="preserve">TUGLAKABAD ICD (INTKD6) - Current Que LEO Date EP Copy Print Status DBK Scroll No Scroll Date EGM Integration Status
HIST  10 NOV 2017 00:11  Y  22850/2017  30 NOV 2017 00:11  Y </v>
      </c>
    </row>
    <row r="254" spans="1:16">
      <c r="A254" t="s">
        <v>16</v>
      </c>
      <c r="B254">
        <v>9675183</v>
      </c>
      <c r="C254" t="s">
        <v>1147</v>
      </c>
      <c r="D254" t="s">
        <v>1148</v>
      </c>
      <c r="E254" t="s">
        <v>1149</v>
      </c>
      <c r="F254" t="s">
        <v>1150</v>
      </c>
      <c r="G254" t="s">
        <v>21</v>
      </c>
      <c r="H254" t="s">
        <v>1151</v>
      </c>
      <c r="I254" t="s">
        <v>34</v>
      </c>
      <c r="J254" s="6" t="str">
        <f t="shared" si="18"/>
        <v>ROSL NOT CLAIMED</v>
      </c>
      <c r="K254" s="6" t="str">
        <f>IF(J254="","",IF(J254="ROSL CLAIMED","ROSL CLAIMED","ROSL NOT CLAIMED"))</f>
        <v>ROSL NOT CLAIMED</v>
      </c>
      <c r="L254" s="8" t="str">
        <f t="shared" si="19"/>
        <v>NULL</v>
      </c>
      <c r="M254" s="6">
        <f t="shared" si="20"/>
        <v>0</v>
      </c>
      <c r="N254" s="9">
        <f t="shared" ca="1" si="21"/>
        <v>2940</v>
      </c>
      <c r="O254" s="6" t="str">
        <f t="shared" si="22"/>
        <v>GST Paid</v>
      </c>
      <c r="P254" t="str">
        <f t="shared" si="23"/>
        <v xml:space="preserve">TUGLAKABAD ICD (INTKD6) - Current Que LEO Date EP Copy Print Status DBK Scroll No Scroll Date EGM Integration Status
HIST  06 NOV 2017 00:11  Y  23643/2018  31 JAN 2018 00:01  Y </v>
      </c>
    </row>
    <row r="255" spans="1:16">
      <c r="A255" t="s">
        <v>16</v>
      </c>
      <c r="B255">
        <v>9683009</v>
      </c>
      <c r="C255" t="s">
        <v>1147</v>
      </c>
      <c r="D255" t="s">
        <v>1152</v>
      </c>
      <c r="E255" t="s">
        <v>1131</v>
      </c>
      <c r="F255" t="s">
        <v>1153</v>
      </c>
      <c r="G255" t="s">
        <v>21</v>
      </c>
      <c r="H255" t="s">
        <v>1154</v>
      </c>
      <c r="I255" t="s">
        <v>1099</v>
      </c>
      <c r="J255" s="6" t="str">
        <f t="shared" si="18"/>
        <v>ROSL NOT CLAIMED</v>
      </c>
      <c r="K255" s="6" t="str">
        <f>IF(J255="","",IF(J255="ROSL CLAIMED","ROSL CLAIMED","ROSL NOT CLAIMED"))</f>
        <v>ROSL NOT CLAIMED</v>
      </c>
      <c r="L255" s="8" t="str">
        <f t="shared" si="19"/>
        <v xml:space="preserve">0684  0  10684 </v>
      </c>
      <c r="M255" s="6">
        <f t="shared" si="20"/>
        <v>0</v>
      </c>
      <c r="N255" s="9">
        <f t="shared" ca="1" si="21"/>
        <v>2940</v>
      </c>
      <c r="O255" s="6" t="str">
        <f t="shared" si="22"/>
        <v>GST Paid</v>
      </c>
      <c r="P255" t="str">
        <f t="shared" si="23"/>
        <v xml:space="preserve">TUGLAKABAD ICD (INTKD6) - Current Que LEO Date EP Copy Print Status DBK Scroll No Scroll Date EGM Integration Status
HIST  08 NOV 2017 00:11  Y  22753/2017  24 NOV 2017 00:11  Y </v>
      </c>
    </row>
    <row r="256" spans="1:16">
      <c r="A256" t="s">
        <v>16</v>
      </c>
      <c r="B256">
        <v>9683904</v>
      </c>
      <c r="C256" t="s">
        <v>1147</v>
      </c>
      <c r="D256" t="s">
        <v>1155</v>
      </c>
      <c r="E256" t="s">
        <v>1156</v>
      </c>
      <c r="F256" t="s">
        <v>1157</v>
      </c>
      <c r="G256" t="s">
        <v>39</v>
      </c>
      <c r="H256" t="s">
        <v>1158</v>
      </c>
      <c r="I256" t="s">
        <v>1159</v>
      </c>
      <c r="J256" s="6" t="str">
        <f t="shared" si="18"/>
        <v>ROSL CLAIMED</v>
      </c>
      <c r="K256" s="6" t="str">
        <f>IF(J256="","",IF(J256="ROSL CLAIMED","ROSL CLAIMED","ROSL NOT CLAIMED"))</f>
        <v>ROSL CLAIMED</v>
      </c>
      <c r="L256" s="8" t="str">
        <f t="shared" si="19"/>
        <v>NULL</v>
      </c>
      <c r="M256" s="6">
        <f t="shared" si="20"/>
        <v>1</v>
      </c>
      <c r="N256" s="9">
        <f t="shared" ca="1" si="21"/>
        <v>2940</v>
      </c>
      <c r="O256" s="6" t="str">
        <f t="shared" si="22"/>
        <v>GST Paid</v>
      </c>
      <c r="P256" t="str">
        <f t="shared" si="23"/>
        <v xml:space="preserve">TUGLAKABAD ICD (INTKD6) - Current Que LEO Date EP Copy Print Status DBK Scroll No Scroll Date EGM Integration Status
HIST  16 DEC 2017 00:12  Y  N.A.  N.A.  Y </v>
      </c>
    </row>
    <row r="257" spans="1:16">
      <c r="A257" t="s">
        <v>16</v>
      </c>
      <c r="B257">
        <v>9687200</v>
      </c>
      <c r="C257" t="s">
        <v>1147</v>
      </c>
      <c r="D257" t="s">
        <v>1160</v>
      </c>
      <c r="E257" t="s">
        <v>1137</v>
      </c>
      <c r="F257" t="s">
        <v>1161</v>
      </c>
      <c r="G257" t="s">
        <v>1162</v>
      </c>
      <c r="H257" t="s">
        <v>1163</v>
      </c>
      <c r="I257" t="s">
        <v>34</v>
      </c>
      <c r="J257" s="6" t="str">
        <f t="shared" si="18"/>
        <v>NULL</v>
      </c>
      <c r="K257" s="6" t="str">
        <f>IF(J257="","",IF(J257="ROSL CLAIMED","ROSL CLAIMED","ROSL NOT CLAIMED"))</f>
        <v>ROSL NOT CLAIMED</v>
      </c>
      <c r="L257" s="8" t="str">
        <f t="shared" si="19"/>
        <v>06074285  AAEPI</v>
      </c>
      <c r="M257" s="6">
        <f t="shared" si="20"/>
        <v>0</v>
      </c>
      <c r="N257" s="9">
        <f t="shared" ca="1" si="21"/>
        <v>2940</v>
      </c>
      <c r="O257" s="6" t="str">
        <f t="shared" si="22"/>
        <v>GST Paid</v>
      </c>
      <c r="P257" t="str">
        <f t="shared" si="23"/>
        <v xml:space="preserve">TUGLAKABAD ICD (INTKD6) - Current Que LEO Date EP Copy Print Status DBK Scroll No Scroll Date EGM Integration Status
HIST  07 NOV 2017 00:11  Y  22753/2017  24 NOV 2017 00:11  Y </v>
      </c>
    </row>
    <row r="258" spans="1:16">
      <c r="A258" t="s">
        <v>16</v>
      </c>
      <c r="B258">
        <v>9721864</v>
      </c>
      <c r="C258" t="s">
        <v>1164</v>
      </c>
      <c r="D258" t="s">
        <v>1165</v>
      </c>
      <c r="E258" t="s">
        <v>1131</v>
      </c>
      <c r="F258" t="s">
        <v>1166</v>
      </c>
      <c r="G258" t="s">
        <v>21</v>
      </c>
      <c r="H258" t="s">
        <v>1167</v>
      </c>
      <c r="I258" t="s">
        <v>1168</v>
      </c>
      <c r="J258" s="6" t="str">
        <f t="shared" si="18"/>
        <v>ROSL NOT CLAIMED</v>
      </c>
      <c r="K258" s="6" t="str">
        <f>IF(J258="","",IF(J258="ROSL CLAIMED","ROSL CLAIMED","ROSL NOT CLAIMED"))</f>
        <v>ROSL NOT CLAIMED</v>
      </c>
      <c r="L258" s="8" t="str">
        <f t="shared" si="19"/>
        <v>06 NOV 2017 12:</v>
      </c>
      <c r="M258" s="6">
        <f t="shared" si="20"/>
        <v>0</v>
      </c>
      <c r="N258" s="9">
        <f t="shared" ca="1" si="21"/>
        <v>2937</v>
      </c>
      <c r="O258" s="6" t="str">
        <f t="shared" si="22"/>
        <v>GST Paid</v>
      </c>
      <c r="P258" t="str">
        <f t="shared" si="23"/>
        <v xml:space="preserve">TUGLAKABAD ICD (INTKD6) - Current Que LEO Date EP Copy Print Status DBK Scroll No Scroll Date EGM Integration Status
HIST  08 NOV 2017 00:11  Y  22753/2017  24 NOV 2017 00:11  Y </v>
      </c>
    </row>
    <row r="259" spans="1:16">
      <c r="A259" t="s">
        <v>16</v>
      </c>
      <c r="B259">
        <v>9725059</v>
      </c>
      <c r="C259" t="s">
        <v>1164</v>
      </c>
      <c r="D259" t="s">
        <v>1169</v>
      </c>
      <c r="E259" t="s">
        <v>1107</v>
      </c>
      <c r="F259" t="s">
        <v>1117</v>
      </c>
      <c r="G259" t="s">
        <v>21</v>
      </c>
      <c r="H259" t="s">
        <v>1170</v>
      </c>
      <c r="I259" t="s">
        <v>1171</v>
      </c>
      <c r="J259" s="6" t="str">
        <f t="shared" ref="J259:J322" si="24">IF(ISNUMBER(SEARCH("NULL",G259)),"ROSL CLAIMED",
IF(ISNUMBER(SEARCH("ROSL NOT CLAIMED",G259)),"ROSL NOT CLAIMED","NULL"))</f>
        <v>ROSL NOT CLAIMED</v>
      </c>
      <c r="K259" s="6" t="str">
        <f>IF(J259="","",IF(J259="ROSL CLAIMED","ROSL CLAIMED","ROSL NOT CLAIMED"))</f>
        <v>ROSL NOT CLAIMED</v>
      </c>
      <c r="L259" s="8" t="str">
        <f t="shared" ref="L259:L322" si="25">IFERROR(MID(D259, SEARCH("06", D259), 15), "NULL")</f>
        <v>06 NOV 2017 12:</v>
      </c>
      <c r="M259" s="6">
        <f t="shared" ref="M259:M322" si="26">IF(K259="","",IF(K259="ROSL CLAIMED",1,IF(K259="ROSL NOT CLAIMED",0,"")))</f>
        <v>0</v>
      </c>
      <c r="N259" s="9">
        <f t="shared" ref="N259:N322" ca="1" si="27">IF(C259&lt;&gt;"", TODAY()-C259, "")</f>
        <v>2937</v>
      </c>
      <c r="O259" s="6" t="str">
        <f t="shared" ref="O259:O322" si="28">IF(H259=0,"Missing GST", IF(H259&gt;0,"GST Paid",""))</f>
        <v>GST Paid</v>
      </c>
      <c r="P259" t="str">
        <f t="shared" ref="P259:P322" si="29">CONCATENATE(A259," - ",E259)</f>
        <v xml:space="preserve">TUGLAKABAD ICD (INTKD6) - Current Que LEO Date EP Copy Print Status DBK Scroll No Scroll Date EGM Integration Status
HIST  09 NOV 2017 00:11  Y  22753/2017  24 NOV 2017 00:11  Y </v>
      </c>
    </row>
    <row r="260" spans="1:16">
      <c r="A260" t="s">
        <v>16</v>
      </c>
      <c r="B260">
        <v>9731029</v>
      </c>
      <c r="C260" t="s">
        <v>1164</v>
      </c>
      <c r="D260" t="s">
        <v>1172</v>
      </c>
      <c r="E260" t="s">
        <v>1107</v>
      </c>
      <c r="F260" t="s">
        <v>1173</v>
      </c>
      <c r="G260" t="s">
        <v>21</v>
      </c>
      <c r="H260" t="s">
        <v>1174</v>
      </c>
      <c r="I260" t="s">
        <v>1175</v>
      </c>
      <c r="J260" s="6" t="str">
        <f t="shared" si="24"/>
        <v>ROSL NOT CLAIMED</v>
      </c>
      <c r="K260" s="6" t="str">
        <f>IF(J260="","",IF(J260="ROSL CLAIMED","ROSL CLAIMED","ROSL NOT CLAIMED"))</f>
        <v>ROSL NOT CLAIMED</v>
      </c>
      <c r="L260" s="8" t="str">
        <f t="shared" si="25"/>
        <v>062884  AYZPP59</v>
      </c>
      <c r="M260" s="6">
        <f t="shared" si="26"/>
        <v>0</v>
      </c>
      <c r="N260" s="9">
        <f t="shared" ca="1" si="27"/>
        <v>2937</v>
      </c>
      <c r="O260" s="6" t="str">
        <f t="shared" si="28"/>
        <v>GST Paid</v>
      </c>
      <c r="P260" t="str">
        <f t="shared" si="29"/>
        <v xml:space="preserve">TUGLAKABAD ICD (INTKD6) - Current Que LEO Date EP Copy Print Status DBK Scroll No Scroll Date EGM Integration Status
HIST  09 NOV 2017 00:11  Y  22753/2017  24 NOV 2017 00:11  Y </v>
      </c>
    </row>
    <row r="261" spans="1:16">
      <c r="A261" t="s">
        <v>16</v>
      </c>
      <c r="B261">
        <v>9736929</v>
      </c>
      <c r="C261" t="s">
        <v>1176</v>
      </c>
      <c r="D261" t="s">
        <v>1177</v>
      </c>
      <c r="E261" t="s">
        <v>1131</v>
      </c>
      <c r="F261" t="s">
        <v>1178</v>
      </c>
      <c r="G261" t="s">
        <v>21</v>
      </c>
      <c r="H261" t="s">
        <v>1179</v>
      </c>
      <c r="I261" t="s">
        <v>1180</v>
      </c>
      <c r="J261" s="6" t="str">
        <f t="shared" si="24"/>
        <v>ROSL NOT CLAIMED</v>
      </c>
      <c r="K261" s="6" t="str">
        <f>IF(J261="","",IF(J261="ROSL CLAIMED","ROSL CLAIMED","ROSL NOT CLAIMED"))</f>
        <v>ROSL NOT CLAIMED</v>
      </c>
      <c r="L261" s="8" t="str">
        <f t="shared" si="25"/>
        <v>NULL</v>
      </c>
      <c r="M261" s="6">
        <f t="shared" si="26"/>
        <v>0</v>
      </c>
      <c r="N261" s="9">
        <f t="shared" ca="1" si="27"/>
        <v>2936</v>
      </c>
      <c r="O261" s="6" t="str">
        <f t="shared" si="28"/>
        <v>GST Paid</v>
      </c>
      <c r="P261" t="str">
        <f t="shared" si="29"/>
        <v xml:space="preserve">TUGLAKABAD ICD (INTKD6) - Current Que LEO Date EP Copy Print Status DBK Scroll No Scroll Date EGM Integration Status
HIST  08 NOV 2017 00:11  Y  22753/2017  24 NOV 2017 00:11  Y </v>
      </c>
    </row>
    <row r="262" spans="1:16">
      <c r="A262" t="s">
        <v>16</v>
      </c>
      <c r="B262">
        <v>9738912</v>
      </c>
      <c r="C262" t="s">
        <v>1176</v>
      </c>
      <c r="D262" t="s">
        <v>1181</v>
      </c>
      <c r="E262" t="s">
        <v>1182</v>
      </c>
      <c r="F262" t="s">
        <v>1183</v>
      </c>
      <c r="G262" t="s">
        <v>21</v>
      </c>
      <c r="H262" t="s">
        <v>1184</v>
      </c>
      <c r="I262" t="s">
        <v>1185</v>
      </c>
      <c r="J262" s="6" t="str">
        <f t="shared" si="24"/>
        <v>ROSL NOT CLAIMED</v>
      </c>
      <c r="K262" s="6" t="str">
        <f>IF(J262="","",IF(J262="ROSL CLAIMED","ROSL CLAIMED","ROSL NOT CLAIMED"))</f>
        <v>ROSL NOT CLAIMED</v>
      </c>
      <c r="L262" s="8" t="str">
        <f t="shared" si="25"/>
        <v>0615002285  AAI</v>
      </c>
      <c r="M262" s="6">
        <f t="shared" si="26"/>
        <v>0</v>
      </c>
      <c r="N262" s="9">
        <f t="shared" ca="1" si="27"/>
        <v>2936</v>
      </c>
      <c r="O262" s="6" t="str">
        <f t="shared" si="28"/>
        <v>GST Paid</v>
      </c>
      <c r="P262" t="str">
        <f t="shared" si="29"/>
        <v xml:space="preserve">TUGLAKABAD ICD (INTKD6) - Current Que LEO Date EP Copy Print Status DBK Scroll No Scroll Date EGM Integration Status
HIST  14 NOV 2017 00:11  Y  24432/2018  25 MAR 2018 00:03  Y </v>
      </c>
    </row>
    <row r="263" spans="1:16">
      <c r="A263" t="s">
        <v>16</v>
      </c>
      <c r="B263">
        <v>9741196</v>
      </c>
      <c r="C263" t="s">
        <v>1176</v>
      </c>
      <c r="D263" t="s">
        <v>1186</v>
      </c>
      <c r="E263" t="s">
        <v>1107</v>
      </c>
      <c r="F263" t="s">
        <v>1187</v>
      </c>
      <c r="G263" t="s">
        <v>21</v>
      </c>
      <c r="H263" t="s">
        <v>1188</v>
      </c>
      <c r="I263" t="s">
        <v>1189</v>
      </c>
      <c r="J263" s="6" t="str">
        <f t="shared" si="24"/>
        <v>ROSL NOT CLAIMED</v>
      </c>
      <c r="K263" s="6" t="str">
        <f>IF(J263="","",IF(J263="ROSL CLAIMED","ROSL CLAIMED","ROSL NOT CLAIMED"))</f>
        <v>ROSL NOT CLAIMED</v>
      </c>
      <c r="L263" s="8" t="str">
        <f t="shared" si="25"/>
        <v>NULL</v>
      </c>
      <c r="M263" s="6">
        <f t="shared" si="26"/>
        <v>0</v>
      </c>
      <c r="N263" s="9">
        <f t="shared" ca="1" si="27"/>
        <v>2936</v>
      </c>
      <c r="O263" s="6" t="str">
        <f t="shared" si="28"/>
        <v>GST Paid</v>
      </c>
      <c r="P263" t="str">
        <f t="shared" si="29"/>
        <v xml:space="preserve">TUGLAKABAD ICD (INTKD6) - Current Que LEO Date EP Copy Print Status DBK Scroll No Scroll Date EGM Integration Status
HIST  09 NOV 2017 00:11  Y  22753/2017  24 NOV 2017 00:11  Y </v>
      </c>
    </row>
    <row r="264" spans="1:16">
      <c r="A264" t="s">
        <v>16</v>
      </c>
      <c r="B264">
        <v>9776960</v>
      </c>
      <c r="C264" t="s">
        <v>1190</v>
      </c>
      <c r="D264" t="s">
        <v>1191</v>
      </c>
      <c r="E264" t="s">
        <v>1192</v>
      </c>
      <c r="F264" t="s">
        <v>1193</v>
      </c>
      <c r="G264" t="s">
        <v>21</v>
      </c>
      <c r="H264" t="s">
        <v>1194</v>
      </c>
      <c r="I264" t="s">
        <v>1195</v>
      </c>
      <c r="J264" s="6" t="str">
        <f t="shared" si="24"/>
        <v>ROSL NOT CLAIMED</v>
      </c>
      <c r="K264" s="6" t="str">
        <f>IF(J264="","",IF(J264="ROSL CLAIMED","ROSL CLAIMED","ROSL NOT CLAIMED"))</f>
        <v>ROSL NOT CLAIMED</v>
      </c>
      <c r="L264" s="8" t="str">
        <f t="shared" si="25"/>
        <v>06  08 NOV 2017</v>
      </c>
      <c r="M264" s="6">
        <f t="shared" si="26"/>
        <v>0</v>
      </c>
      <c r="N264" s="9">
        <f t="shared" ca="1" si="27"/>
        <v>2935</v>
      </c>
      <c r="O264" s="6" t="str">
        <f t="shared" si="28"/>
        <v>GST Paid</v>
      </c>
      <c r="P264" t="str">
        <f t="shared" si="29"/>
        <v xml:space="preserve">TUGLAKABAD ICD (INTKD6) - Current Que LEO Date EP Copy Print Status DBK Scroll No Scroll Date EGM Integration Status
HIST  13 NOV 2017 00:11  Y  24432/2018  25 MAR 2018 00:03  Y </v>
      </c>
    </row>
    <row r="265" spans="1:16">
      <c r="A265" t="s">
        <v>16</v>
      </c>
      <c r="B265">
        <v>9786910</v>
      </c>
      <c r="C265" t="s">
        <v>1196</v>
      </c>
      <c r="D265" t="s">
        <v>1197</v>
      </c>
      <c r="E265" t="s">
        <v>1116</v>
      </c>
      <c r="F265" t="s">
        <v>1198</v>
      </c>
      <c r="G265" t="s">
        <v>21</v>
      </c>
      <c r="H265" t="s">
        <v>1199</v>
      </c>
      <c r="I265" t="s">
        <v>1200</v>
      </c>
      <c r="J265" s="6" t="str">
        <f t="shared" si="24"/>
        <v>ROSL NOT CLAIMED</v>
      </c>
      <c r="K265" s="6" t="str">
        <f>IF(J265="","",IF(J265="ROSL CLAIMED","ROSL CLAIMED","ROSL NOT CLAIMED"))</f>
        <v>ROSL NOT CLAIMED</v>
      </c>
      <c r="L265" s="8" t="str">
        <f t="shared" si="25"/>
        <v>06736.74  0  12</v>
      </c>
      <c r="M265" s="6">
        <f t="shared" si="26"/>
        <v>0</v>
      </c>
      <c r="N265" s="9">
        <f t="shared" ca="1" si="27"/>
        <v>2934</v>
      </c>
      <c r="O265" s="6" t="str">
        <f t="shared" si="28"/>
        <v>GST Paid</v>
      </c>
      <c r="P265" t="str">
        <f t="shared" si="29"/>
        <v xml:space="preserve">TUGLAKABAD ICD (INTKD6) - Current Que LEO Date EP Copy Print Status DBK Scroll No Scroll Date EGM Integration Status
HIST  10 NOV 2017 00:11  Y  22753/2017  24 NOV 2017 00:11  Y </v>
      </c>
    </row>
    <row r="266" spans="1:16">
      <c r="A266" t="s">
        <v>16</v>
      </c>
      <c r="B266">
        <v>9791045</v>
      </c>
      <c r="C266" t="s">
        <v>1196</v>
      </c>
      <c r="D266" t="s">
        <v>1201</v>
      </c>
      <c r="E266" t="s">
        <v>1116</v>
      </c>
      <c r="F266" t="s">
        <v>1202</v>
      </c>
      <c r="G266" t="s">
        <v>1203</v>
      </c>
      <c r="H266" t="s">
        <v>1204</v>
      </c>
      <c r="I266" t="s">
        <v>1205</v>
      </c>
      <c r="J266" s="6" t="str">
        <f t="shared" si="24"/>
        <v>NULL</v>
      </c>
      <c r="K266" s="6" t="str">
        <f>IF(J266="","",IF(J266="ROSL CLAIMED","ROSL CLAIMED","ROSL NOT CLAIMED"))</f>
        <v>ROSL NOT CLAIMED</v>
      </c>
      <c r="L266" s="8" t="str">
        <f t="shared" si="25"/>
        <v>06292.45  0  41</v>
      </c>
      <c r="M266" s="6">
        <f t="shared" si="26"/>
        <v>0</v>
      </c>
      <c r="N266" s="9">
        <f t="shared" ca="1" si="27"/>
        <v>2934</v>
      </c>
      <c r="O266" s="6" t="str">
        <f t="shared" si="28"/>
        <v>GST Paid</v>
      </c>
      <c r="P266" t="str">
        <f t="shared" si="29"/>
        <v xml:space="preserve">TUGLAKABAD ICD (INTKD6) - Current Que LEO Date EP Copy Print Status DBK Scroll No Scroll Date EGM Integration Status
HIST  10 NOV 2017 00:11  Y  22753/2017  24 NOV 2017 00:11  Y </v>
      </c>
    </row>
    <row r="267" spans="1:16">
      <c r="A267" t="s">
        <v>16</v>
      </c>
      <c r="B267">
        <v>9802291</v>
      </c>
      <c r="C267" t="s">
        <v>1196</v>
      </c>
      <c r="D267" t="s">
        <v>1206</v>
      </c>
      <c r="E267" t="s">
        <v>1192</v>
      </c>
      <c r="F267" t="s">
        <v>1207</v>
      </c>
      <c r="G267" t="s">
        <v>21</v>
      </c>
      <c r="H267" t="s">
        <v>1208</v>
      </c>
      <c r="I267" t="s">
        <v>1209</v>
      </c>
      <c r="J267" s="6" t="str">
        <f t="shared" si="24"/>
        <v>ROSL NOT CLAIMED</v>
      </c>
      <c r="K267" s="6" t="str">
        <f>IF(J267="","",IF(J267="ROSL CLAIMED","ROSL CLAIMED","ROSL NOT CLAIMED"))</f>
        <v>ROSL NOT CLAIMED</v>
      </c>
      <c r="L267" s="8" t="str">
        <f t="shared" si="25"/>
        <v>NULL</v>
      </c>
      <c r="M267" s="6">
        <f t="shared" si="26"/>
        <v>0</v>
      </c>
      <c r="N267" s="9">
        <f t="shared" ca="1" si="27"/>
        <v>2934</v>
      </c>
      <c r="O267" s="6" t="str">
        <f t="shared" si="28"/>
        <v>GST Paid</v>
      </c>
      <c r="P267" t="str">
        <f t="shared" si="29"/>
        <v xml:space="preserve">TUGLAKABAD ICD (INTKD6) - Current Que LEO Date EP Copy Print Status DBK Scroll No Scroll Date EGM Integration Status
HIST  13 NOV 2017 00:11  Y  24432/2018  25 MAR 2018 00:03  Y </v>
      </c>
    </row>
    <row r="268" spans="1:16">
      <c r="A268" t="s">
        <v>16</v>
      </c>
      <c r="B268">
        <v>9852487</v>
      </c>
      <c r="C268" t="s">
        <v>1210</v>
      </c>
      <c r="D268" t="s">
        <v>1211</v>
      </c>
      <c r="E268" t="s">
        <v>1212</v>
      </c>
      <c r="F268" t="s">
        <v>1213</v>
      </c>
      <c r="G268" t="s">
        <v>21</v>
      </c>
      <c r="H268" t="s">
        <v>1214</v>
      </c>
      <c r="I268" t="s">
        <v>1215</v>
      </c>
      <c r="J268" s="6" t="str">
        <f t="shared" si="24"/>
        <v>ROSL NOT CLAIMED</v>
      </c>
      <c r="K268" s="6" t="str">
        <f>IF(J268="","",IF(J268="ROSL CLAIMED","ROSL CLAIMED","ROSL NOT CLAIMED"))</f>
        <v>ROSL NOT CLAIMED</v>
      </c>
      <c r="L268" s="8" t="str">
        <f t="shared" si="25"/>
        <v>NULL</v>
      </c>
      <c r="M268" s="6">
        <f t="shared" si="26"/>
        <v>0</v>
      </c>
      <c r="N268" s="9">
        <f t="shared" ca="1" si="27"/>
        <v>2930</v>
      </c>
      <c r="O268" s="6" t="str">
        <f t="shared" si="28"/>
        <v>GST Paid</v>
      </c>
      <c r="P268" t="str">
        <f t="shared" si="29"/>
        <v xml:space="preserve">TUGLAKABAD ICD (INTKD6) - Current Que LEO Date EP Copy Print Status DBK Scroll No Scroll Date EGM Integration Status
HIST  15 NOV 2017 00:11  Y  22753/2017  24 NOV 2017 00:11  Y </v>
      </c>
    </row>
    <row r="269" spans="1:16">
      <c r="A269" t="s">
        <v>16</v>
      </c>
      <c r="B269">
        <v>9929860</v>
      </c>
      <c r="C269" t="s">
        <v>1216</v>
      </c>
      <c r="D269" t="s">
        <v>1217</v>
      </c>
      <c r="E269" t="s">
        <v>1218</v>
      </c>
      <c r="F269" t="s">
        <v>1219</v>
      </c>
      <c r="G269" t="s">
        <v>1220</v>
      </c>
      <c r="H269" t="s">
        <v>1221</v>
      </c>
      <c r="I269" t="s">
        <v>1222</v>
      </c>
      <c r="J269" s="6" t="str">
        <f t="shared" si="24"/>
        <v>NULL</v>
      </c>
      <c r="K269" s="6" t="str">
        <f>IF(J269="","",IF(J269="ROSL CLAIMED","ROSL CLAIMED","ROSL NOT CLAIMED"))</f>
        <v>ROSL NOT CLAIMED</v>
      </c>
      <c r="L269" s="8" t="str">
        <f t="shared" si="25"/>
        <v>NULL</v>
      </c>
      <c r="M269" s="6">
        <f t="shared" si="26"/>
        <v>0</v>
      </c>
      <c r="N269" s="9">
        <f t="shared" ca="1" si="27"/>
        <v>2927</v>
      </c>
      <c r="O269" s="6" t="str">
        <f t="shared" si="28"/>
        <v>GST Paid</v>
      </c>
      <c r="P269" t="str">
        <f t="shared" si="29"/>
        <v xml:space="preserve">TUGLAKABAD ICD (INTKD6) - Current Que LEO Date EP Copy Print Status DBK Scroll No Scroll Date EGM Integration Status
HIST  17 NOV 2017 00:11  Y  22753/2017  24 NOV 2017 00:11  Y </v>
      </c>
    </row>
    <row r="270" spans="1:16">
      <c r="A270" t="s">
        <v>16</v>
      </c>
      <c r="B270">
        <v>9949379</v>
      </c>
      <c r="C270" t="s">
        <v>1216</v>
      </c>
      <c r="D270" t="s">
        <v>1223</v>
      </c>
      <c r="E270" t="s">
        <v>1224</v>
      </c>
      <c r="F270" t="s">
        <v>1225</v>
      </c>
      <c r="G270" t="s">
        <v>21</v>
      </c>
      <c r="H270" t="s">
        <v>1226</v>
      </c>
      <c r="I270" t="s">
        <v>1134</v>
      </c>
      <c r="J270" s="6" t="str">
        <f t="shared" si="24"/>
        <v>ROSL NOT CLAIMED</v>
      </c>
      <c r="K270" s="6" t="str">
        <f>IF(J270="","",IF(J270="ROSL CLAIMED","ROSL CLAIMED","ROSL NOT CLAIMED"))</f>
        <v>ROSL NOT CLAIMED</v>
      </c>
      <c r="L270" s="8" t="str">
        <f t="shared" si="25"/>
        <v>NULL</v>
      </c>
      <c r="M270" s="6">
        <f t="shared" si="26"/>
        <v>0</v>
      </c>
      <c r="N270" s="9">
        <f t="shared" ca="1" si="27"/>
        <v>2927</v>
      </c>
      <c r="O270" s="6" t="str">
        <f t="shared" si="28"/>
        <v>GST Paid</v>
      </c>
      <c r="P270" t="str">
        <f t="shared" si="29"/>
        <v xml:space="preserve">TUGLAKABAD ICD (INTKD6) - Current Que LEO Date EP Copy Print Status DBK Scroll No Scroll Date EGM Integration Status
HIST  18 NOV 2017 00:11  Y  22850/2017  30 NOV 2017 00:11  Y </v>
      </c>
    </row>
    <row r="271" spans="1:16">
      <c r="A271" t="s">
        <v>16</v>
      </c>
      <c r="B271">
        <v>9962200</v>
      </c>
      <c r="C271" t="s">
        <v>1227</v>
      </c>
      <c r="D271" t="s">
        <v>1228</v>
      </c>
      <c r="E271" t="s">
        <v>1229</v>
      </c>
      <c r="F271" t="s">
        <v>1230</v>
      </c>
      <c r="G271" t="s">
        <v>21</v>
      </c>
      <c r="H271" t="s">
        <v>1231</v>
      </c>
      <c r="I271" t="s">
        <v>34</v>
      </c>
      <c r="J271" s="6" t="str">
        <f t="shared" si="24"/>
        <v>ROSL NOT CLAIMED</v>
      </c>
      <c r="K271" s="6" t="str">
        <f>IF(J271="","",IF(J271="ROSL CLAIMED","ROSL CLAIMED","ROSL NOT CLAIMED"))</f>
        <v>ROSL NOT CLAIMED</v>
      </c>
      <c r="L271" s="8" t="str">
        <f t="shared" si="25"/>
        <v>NULL</v>
      </c>
      <c r="M271" s="6">
        <f t="shared" si="26"/>
        <v>0</v>
      </c>
      <c r="N271" s="9">
        <f t="shared" ca="1" si="27"/>
        <v>2926</v>
      </c>
      <c r="O271" s="6" t="str">
        <f t="shared" si="28"/>
        <v>GST Paid</v>
      </c>
      <c r="P271" t="str">
        <f t="shared" si="29"/>
        <v xml:space="preserve">TUGLAKABAD ICD (INTKD6) - Current Que LEO Date EP Copy Print Status DBK Scroll No Scroll Date EGM Integration Status
HIST  25 NOV 2017 00:11  Y  23003/2017  12 DEC 2017 00:12  Y </v>
      </c>
    </row>
    <row r="272" spans="1:16">
      <c r="A272" t="s">
        <v>16</v>
      </c>
      <c r="B272">
        <v>9962305</v>
      </c>
      <c r="C272" t="s">
        <v>1227</v>
      </c>
      <c r="D272" t="s">
        <v>1232</v>
      </c>
      <c r="E272" t="s">
        <v>1233</v>
      </c>
      <c r="F272" t="s">
        <v>1234</v>
      </c>
      <c r="G272" t="s">
        <v>21</v>
      </c>
      <c r="H272" t="s">
        <v>1235</v>
      </c>
      <c r="I272" t="s">
        <v>34</v>
      </c>
      <c r="J272" s="6" t="str">
        <f t="shared" si="24"/>
        <v>ROSL NOT CLAIMED</v>
      </c>
      <c r="K272" s="6" t="str">
        <f>IF(J272="","",IF(J272="ROSL CLAIMED","ROSL CLAIMED","ROSL NOT CLAIMED"))</f>
        <v>ROSL NOT CLAIMED</v>
      </c>
      <c r="L272" s="8" t="str">
        <f t="shared" si="25"/>
        <v>NULL</v>
      </c>
      <c r="M272" s="6">
        <f t="shared" si="26"/>
        <v>0</v>
      </c>
      <c r="N272" s="9">
        <f t="shared" ca="1" si="27"/>
        <v>2926</v>
      </c>
      <c r="O272" s="6" t="str">
        <f t="shared" si="28"/>
        <v>GST Paid</v>
      </c>
      <c r="P272" t="str">
        <f t="shared" si="29"/>
        <v xml:space="preserve">TUGLAKABAD ICD (INTKD6) - Current Que LEO Date EP Copy Print Status DBK Scroll No Scroll Date EGM Integration Status
HIST  28 NOV 2017 00:11  Y  23003/2017  12 DEC 2017 00:12  Y </v>
      </c>
    </row>
    <row r="273" spans="1:16">
      <c r="A273" t="s">
        <v>16</v>
      </c>
      <c r="B273">
        <v>1023575</v>
      </c>
      <c r="C273" t="s">
        <v>1236</v>
      </c>
      <c r="D273" t="s">
        <v>1237</v>
      </c>
      <c r="E273" t="s">
        <v>1238</v>
      </c>
      <c r="F273" t="s">
        <v>1239</v>
      </c>
      <c r="G273" t="s">
        <v>39</v>
      </c>
      <c r="H273" t="s">
        <v>1240</v>
      </c>
      <c r="I273" t="s">
        <v>1241</v>
      </c>
      <c r="J273" s="6" t="str">
        <f t="shared" si="24"/>
        <v>ROSL CLAIMED</v>
      </c>
      <c r="K273" s="6" t="str">
        <f>IF(J273="","",IF(J273="ROSL CLAIMED","ROSL CLAIMED","ROSL NOT CLAIMED"))</f>
        <v>ROSL CLAIMED</v>
      </c>
      <c r="L273" s="8" t="str">
        <f t="shared" si="25"/>
        <v>06012905  FHMPS</v>
      </c>
      <c r="M273" s="6">
        <f t="shared" si="26"/>
        <v>1</v>
      </c>
      <c r="N273" s="9">
        <f t="shared" ca="1" si="27"/>
        <v>2923</v>
      </c>
      <c r="O273" s="6" t="str">
        <f t="shared" si="28"/>
        <v>GST Paid</v>
      </c>
      <c r="P273" t="str">
        <f t="shared" si="29"/>
        <v xml:space="preserve">TUGLAKABAD ICD (INTKD6) - Current Que LEO Date EP Copy Print Status DBK Scroll No Scroll Date EGM Integration Status
HIST  22 NOV 2017 00:11  Y  N.A.  N.A.  Y </v>
      </c>
    </row>
    <row r="274" spans="1:16">
      <c r="A274" t="s">
        <v>16</v>
      </c>
      <c r="B274">
        <v>1031757</v>
      </c>
      <c r="C274" t="s">
        <v>1242</v>
      </c>
      <c r="D274" t="s">
        <v>1243</v>
      </c>
      <c r="E274" t="s">
        <v>1244</v>
      </c>
      <c r="F274" t="s">
        <v>1245</v>
      </c>
      <c r="G274" t="s">
        <v>21</v>
      </c>
      <c r="H274" t="s">
        <v>1246</v>
      </c>
      <c r="I274" t="s">
        <v>1247</v>
      </c>
      <c r="J274" s="6" t="str">
        <f t="shared" si="24"/>
        <v>ROSL NOT CLAIMED</v>
      </c>
      <c r="K274" s="6" t="str">
        <f>IF(J274="","",IF(J274="ROSL CLAIMED","ROSL CLAIMED","ROSL NOT CLAIMED"))</f>
        <v>ROSL NOT CLAIMED</v>
      </c>
      <c r="L274" s="8" t="str">
        <f t="shared" si="25"/>
        <v>NULL</v>
      </c>
      <c r="M274" s="6">
        <f t="shared" si="26"/>
        <v>0</v>
      </c>
      <c r="N274" s="9">
        <f t="shared" ca="1" si="27"/>
        <v>2922</v>
      </c>
      <c r="O274" s="6" t="str">
        <f t="shared" si="28"/>
        <v>GST Paid</v>
      </c>
      <c r="P274" t="str">
        <f t="shared" si="29"/>
        <v xml:space="preserve">TUGLAKABAD ICD (INTKD6) - Current Que LEO Date EP Copy Print Status DBK Scroll No Scroll Date EGM Integration Status
HIST  24 NOV 2017 00:11  Y  23003/2017  12 DEC 2017 00:12  Y </v>
      </c>
    </row>
    <row r="275" spans="1:16">
      <c r="A275" t="s">
        <v>16</v>
      </c>
      <c r="B275">
        <v>1042281</v>
      </c>
      <c r="C275" t="s">
        <v>1242</v>
      </c>
      <c r="D275" t="s">
        <v>1248</v>
      </c>
      <c r="E275" t="s">
        <v>1249</v>
      </c>
      <c r="F275" t="s">
        <v>1250</v>
      </c>
      <c r="G275" t="s">
        <v>21</v>
      </c>
      <c r="H275" t="s">
        <v>1251</v>
      </c>
      <c r="I275" t="s">
        <v>1252</v>
      </c>
      <c r="J275" s="6" t="str">
        <f t="shared" si="24"/>
        <v>ROSL NOT CLAIMED</v>
      </c>
      <c r="K275" s="6" t="str">
        <f>IF(J275="","",IF(J275="ROSL CLAIMED","ROSL CLAIMED","ROSL NOT CLAIMED"))</f>
        <v>ROSL NOT CLAIMED</v>
      </c>
      <c r="L275" s="8" t="str">
        <f t="shared" si="25"/>
        <v>NULL</v>
      </c>
      <c r="M275" s="6">
        <f t="shared" si="26"/>
        <v>0</v>
      </c>
      <c r="N275" s="9">
        <f t="shared" ca="1" si="27"/>
        <v>2922</v>
      </c>
      <c r="O275" s="6" t="str">
        <f t="shared" si="28"/>
        <v>GST Paid</v>
      </c>
      <c r="P275" t="str">
        <f t="shared" si="29"/>
        <v xml:space="preserve">TUGLAKABAD ICD (INTKD6) - Current Que LEO Date EP Copy Print Status DBK Scroll No Scroll Date EGM Integration Status
HIST  24 NOV 2017 00:11  Y  22915/2017  05 DEC 2017 00:12  Y </v>
      </c>
    </row>
    <row r="276" spans="1:16">
      <c r="A276" t="s">
        <v>16</v>
      </c>
      <c r="B276">
        <v>1046425</v>
      </c>
      <c r="C276" t="s">
        <v>1242</v>
      </c>
      <c r="D276" t="s">
        <v>1253</v>
      </c>
      <c r="E276" t="s">
        <v>1254</v>
      </c>
      <c r="F276" t="s">
        <v>1255</v>
      </c>
      <c r="G276" t="s">
        <v>1256</v>
      </c>
      <c r="H276" t="s">
        <v>1257</v>
      </c>
      <c r="I276" t="s">
        <v>1258</v>
      </c>
      <c r="J276" s="6" t="str">
        <f t="shared" si="24"/>
        <v>NULL</v>
      </c>
      <c r="K276" s="6" t="str">
        <f>IF(J276="","",IF(J276="ROSL CLAIMED","ROSL CLAIMED","ROSL NOT CLAIMED"))</f>
        <v>ROSL NOT CLAIMED</v>
      </c>
      <c r="L276" s="8" t="str">
        <f t="shared" si="25"/>
        <v>0621  AGVPS9920</v>
      </c>
      <c r="M276" s="6">
        <f t="shared" si="26"/>
        <v>0</v>
      </c>
      <c r="N276" s="9">
        <f t="shared" ca="1" si="27"/>
        <v>2922</v>
      </c>
      <c r="O276" s="6" t="str">
        <f t="shared" si="28"/>
        <v>GST Paid</v>
      </c>
      <c r="P276" t="str">
        <f t="shared" si="29"/>
        <v xml:space="preserve">TUGLAKABAD ICD (INTKD6) - Current Que LEO Date EP Copy Print Status DBK Scroll No Scroll Date EGM Integration Status
HIST  23 NOV 2017 00:11  Y  22915/2017  05 DEC 2017 00:12  Y </v>
      </c>
    </row>
    <row r="277" spans="1:16">
      <c r="A277" t="s">
        <v>16</v>
      </c>
      <c r="B277">
        <v>1054151</v>
      </c>
      <c r="C277" t="s">
        <v>1259</v>
      </c>
      <c r="D277" t="s">
        <v>1260</v>
      </c>
      <c r="E277" t="s">
        <v>1261</v>
      </c>
      <c r="F277" t="s">
        <v>1262</v>
      </c>
      <c r="G277" t="s">
        <v>21</v>
      </c>
      <c r="H277" t="s">
        <v>1263</v>
      </c>
      <c r="I277" t="s">
        <v>1264</v>
      </c>
      <c r="J277" s="6" t="str">
        <f t="shared" si="24"/>
        <v>ROSL NOT CLAIMED</v>
      </c>
      <c r="K277" s="6" t="str">
        <f>IF(J277="","",IF(J277="ROSL CLAIMED","ROSL CLAIMED","ROSL NOT CLAIMED"))</f>
        <v>ROSL NOT CLAIMED</v>
      </c>
      <c r="L277" s="8" t="str">
        <f t="shared" si="25"/>
        <v>NULL</v>
      </c>
      <c r="M277" s="6">
        <f t="shared" si="26"/>
        <v>0</v>
      </c>
      <c r="N277" s="9">
        <f t="shared" ca="1" si="27"/>
        <v>2921</v>
      </c>
      <c r="O277" s="6" t="str">
        <f t="shared" si="28"/>
        <v>GST Paid</v>
      </c>
      <c r="P277" t="str">
        <f t="shared" si="29"/>
        <v xml:space="preserve">TUGLAKABAD ICD (INTKD6) - Current Que LEO Date EP Copy Print Status DBK Scroll No Scroll Date EGM Integration Status
HIST  23 NOV 2017 00:11  Y  22850/2017  30 NOV 2017 00:11  Y </v>
      </c>
    </row>
    <row r="278" spans="1:16">
      <c r="A278" t="s">
        <v>16</v>
      </c>
      <c r="B278">
        <v>1062588</v>
      </c>
      <c r="C278" t="s">
        <v>1259</v>
      </c>
      <c r="D278" t="s">
        <v>1265</v>
      </c>
      <c r="E278" t="s">
        <v>1266</v>
      </c>
      <c r="F278" t="s">
        <v>1267</v>
      </c>
      <c r="G278" t="s">
        <v>21</v>
      </c>
      <c r="H278" t="s">
        <v>1268</v>
      </c>
      <c r="I278" t="s">
        <v>1269</v>
      </c>
      <c r="J278" s="6" t="str">
        <f t="shared" si="24"/>
        <v>ROSL NOT CLAIMED</v>
      </c>
      <c r="K278" s="6" t="str">
        <f>IF(J278="","",IF(J278="ROSL CLAIMED","ROSL CLAIMED","ROSL NOT CLAIMED"))</f>
        <v>ROSL NOT CLAIMED</v>
      </c>
      <c r="L278" s="8" t="str">
        <f t="shared" si="25"/>
        <v>NULL</v>
      </c>
      <c r="M278" s="6">
        <f t="shared" si="26"/>
        <v>0</v>
      </c>
      <c r="N278" s="9">
        <f t="shared" ca="1" si="27"/>
        <v>2921</v>
      </c>
      <c r="O278" s="6" t="str">
        <f t="shared" si="28"/>
        <v>GST Paid</v>
      </c>
      <c r="P278" t="str">
        <f t="shared" si="29"/>
        <v xml:space="preserve">TUGLAKABAD ICD (INTKD6) - Current Que LEO Date EP Copy Print Status DBK Scroll No Scroll Date EGM Integration Status
HIST  30 NOV 2017 00:11  Y  23003/2017  12 DEC 2017 00:12  Y </v>
      </c>
    </row>
    <row r="279" spans="1:16">
      <c r="A279" t="s">
        <v>16</v>
      </c>
      <c r="B279">
        <v>1064566</v>
      </c>
      <c r="C279" t="s">
        <v>1259</v>
      </c>
      <c r="D279" t="s">
        <v>1270</v>
      </c>
      <c r="E279" t="s">
        <v>1271</v>
      </c>
      <c r="F279" t="s">
        <v>1272</v>
      </c>
      <c r="G279" t="s">
        <v>1273</v>
      </c>
      <c r="H279" t="s">
        <v>1274</v>
      </c>
      <c r="I279" t="s">
        <v>113</v>
      </c>
      <c r="J279" s="6" t="str">
        <f t="shared" si="24"/>
        <v>NULL</v>
      </c>
      <c r="K279" s="6" t="str">
        <f>IF(J279="","",IF(J279="ROSL CLAIMED","ROSL CLAIMED","ROSL NOT CLAIMED"))</f>
        <v>ROSL NOT CLAIMED</v>
      </c>
      <c r="L279" s="8" t="str">
        <f t="shared" si="25"/>
        <v>NULL</v>
      </c>
      <c r="M279" s="6">
        <f t="shared" si="26"/>
        <v>0</v>
      </c>
      <c r="N279" s="9">
        <f t="shared" ca="1" si="27"/>
        <v>2921</v>
      </c>
      <c r="O279" s="6" t="str">
        <f t="shared" si="28"/>
        <v>GST Paid</v>
      </c>
      <c r="P279" t="str">
        <f t="shared" si="29"/>
        <v xml:space="preserve">TUGLAKABAD ICD (INTKD6) - Current Que LEO Date EP Copy Print Status DBK Scroll No Scroll Date EGM Integration Status
HIST  25 NOV 2017 00:11  Y  22915/2017  05 DEC 2017 00:12  Y </v>
      </c>
    </row>
    <row r="280" spans="1:16">
      <c r="A280" t="s">
        <v>16</v>
      </c>
      <c r="B280">
        <v>1071189</v>
      </c>
      <c r="C280" t="s">
        <v>1259</v>
      </c>
      <c r="D280" t="s">
        <v>1275</v>
      </c>
      <c r="E280" t="s">
        <v>1249</v>
      </c>
      <c r="F280" t="s">
        <v>1276</v>
      </c>
      <c r="G280" t="s">
        <v>21</v>
      </c>
      <c r="H280" t="s">
        <v>1277</v>
      </c>
      <c r="I280" t="s">
        <v>1278</v>
      </c>
      <c r="J280" s="6" t="str">
        <f t="shared" si="24"/>
        <v>ROSL NOT CLAIMED</v>
      </c>
      <c r="K280" s="6" t="str">
        <f>IF(J280="","",IF(J280="ROSL CLAIMED","ROSL CLAIMED","ROSL NOT CLAIMED"))</f>
        <v>ROSL NOT CLAIMED</v>
      </c>
      <c r="L280" s="8" t="str">
        <f t="shared" si="25"/>
        <v>NULL</v>
      </c>
      <c r="M280" s="6">
        <f t="shared" si="26"/>
        <v>0</v>
      </c>
      <c r="N280" s="9">
        <f t="shared" ca="1" si="27"/>
        <v>2921</v>
      </c>
      <c r="O280" s="6" t="str">
        <f t="shared" si="28"/>
        <v>GST Paid</v>
      </c>
      <c r="P280" t="str">
        <f t="shared" si="29"/>
        <v xml:space="preserve">TUGLAKABAD ICD (INTKD6) - Current Que LEO Date EP Copy Print Status DBK Scroll No Scroll Date EGM Integration Status
HIST  24 NOV 2017 00:11  Y  22915/2017  05 DEC 2017 00:12  Y </v>
      </c>
    </row>
    <row r="281" spans="1:16">
      <c r="A281" t="s">
        <v>16</v>
      </c>
      <c r="B281">
        <v>1071710</v>
      </c>
      <c r="C281" t="s">
        <v>1259</v>
      </c>
      <c r="D281" t="s">
        <v>1279</v>
      </c>
      <c r="E281" t="s">
        <v>1249</v>
      </c>
      <c r="F281" t="s">
        <v>1280</v>
      </c>
      <c r="G281" t="s">
        <v>21</v>
      </c>
      <c r="H281" t="s">
        <v>1281</v>
      </c>
      <c r="I281" t="s">
        <v>1282</v>
      </c>
      <c r="J281" s="6" t="str">
        <f t="shared" si="24"/>
        <v>ROSL NOT CLAIMED</v>
      </c>
      <c r="K281" s="6" t="str">
        <f>IF(J281="","",IF(J281="ROSL CLAIMED","ROSL CLAIMED","ROSL NOT CLAIMED"))</f>
        <v>ROSL NOT CLAIMED</v>
      </c>
      <c r="L281" s="8" t="str">
        <f t="shared" si="25"/>
        <v>NULL</v>
      </c>
      <c r="M281" s="6">
        <f t="shared" si="26"/>
        <v>0</v>
      </c>
      <c r="N281" s="9">
        <f t="shared" ca="1" si="27"/>
        <v>2921</v>
      </c>
      <c r="O281" s="6" t="str">
        <f t="shared" si="28"/>
        <v>GST Paid</v>
      </c>
      <c r="P281" t="str">
        <f t="shared" si="29"/>
        <v xml:space="preserve">TUGLAKABAD ICD (INTKD6) - Current Que LEO Date EP Copy Print Status DBK Scroll No Scroll Date EGM Integration Status
HIST  24 NOV 2017 00:11  Y  22915/2017  05 DEC 2017 00:12  Y </v>
      </c>
    </row>
    <row r="282" spans="1:16">
      <c r="A282" t="s">
        <v>16</v>
      </c>
      <c r="B282">
        <v>1072758</v>
      </c>
      <c r="C282" t="s">
        <v>1259</v>
      </c>
      <c r="D282" t="s">
        <v>1283</v>
      </c>
      <c r="E282" t="s">
        <v>1261</v>
      </c>
      <c r="F282" t="s">
        <v>1284</v>
      </c>
      <c r="G282" t="s">
        <v>21</v>
      </c>
      <c r="H282" t="s">
        <v>1285</v>
      </c>
      <c r="I282" t="s">
        <v>1286</v>
      </c>
      <c r="J282" s="6" t="str">
        <f t="shared" si="24"/>
        <v>ROSL NOT CLAIMED</v>
      </c>
      <c r="K282" s="6" t="str">
        <f>IF(J282="","",IF(J282="ROSL CLAIMED","ROSL CLAIMED","ROSL NOT CLAIMED"))</f>
        <v>ROSL NOT CLAIMED</v>
      </c>
      <c r="L282" s="8" t="str">
        <f t="shared" si="25"/>
        <v>NULL</v>
      </c>
      <c r="M282" s="6">
        <f t="shared" si="26"/>
        <v>0</v>
      </c>
      <c r="N282" s="9">
        <f t="shared" ca="1" si="27"/>
        <v>2921</v>
      </c>
      <c r="O282" s="6" t="str">
        <f t="shared" si="28"/>
        <v>GST Paid</v>
      </c>
      <c r="P282" t="str">
        <f t="shared" si="29"/>
        <v xml:space="preserve">TUGLAKABAD ICD (INTKD6) - Current Que LEO Date EP Copy Print Status DBK Scroll No Scroll Date EGM Integration Status
HIST  23 NOV 2017 00:11  Y  22850/2017  30 NOV 2017 00:11  Y </v>
      </c>
    </row>
    <row r="283" spans="1:16">
      <c r="A283" t="s">
        <v>16</v>
      </c>
      <c r="B283">
        <v>1073185</v>
      </c>
      <c r="C283" t="s">
        <v>1259</v>
      </c>
      <c r="D283" t="s">
        <v>1287</v>
      </c>
      <c r="E283" t="s">
        <v>1288</v>
      </c>
      <c r="F283" t="s">
        <v>1289</v>
      </c>
      <c r="G283" t="s">
        <v>39</v>
      </c>
      <c r="H283" t="s">
        <v>1290</v>
      </c>
      <c r="I283" t="s">
        <v>1291</v>
      </c>
      <c r="J283" s="6" t="str">
        <f t="shared" si="24"/>
        <v>ROSL CLAIMED</v>
      </c>
      <c r="K283" s="6" t="str">
        <f>IF(J283="","",IF(J283="ROSL CLAIMED","ROSL CLAIMED","ROSL NOT CLAIMED"))</f>
        <v>ROSL CLAIMED</v>
      </c>
      <c r="L283" s="8" t="str">
        <f t="shared" si="25"/>
        <v xml:space="preserve">06995  0  0  0 </v>
      </c>
      <c r="M283" s="6">
        <f t="shared" si="26"/>
        <v>1</v>
      </c>
      <c r="N283" s="9">
        <f t="shared" ca="1" si="27"/>
        <v>2921</v>
      </c>
      <c r="O283" s="6" t="str">
        <f t="shared" si="28"/>
        <v>GST Paid</v>
      </c>
      <c r="P283" t="str">
        <f t="shared" si="29"/>
        <v xml:space="preserve">TUGLAKABAD ICD (INTKD6) - Current Que LEO Date EP Copy Print Status DBK Scroll No Scroll Date EGM Integration Status
HIST  25 NOV 2017 00:11  Y  N.A.  N.A.  Y </v>
      </c>
    </row>
    <row r="284" spans="1:16">
      <c r="A284" t="s">
        <v>16</v>
      </c>
      <c r="B284">
        <v>1090894</v>
      </c>
      <c r="C284" t="s">
        <v>1292</v>
      </c>
      <c r="D284" t="s">
        <v>1293</v>
      </c>
      <c r="E284" t="s">
        <v>1294</v>
      </c>
      <c r="F284" t="s">
        <v>1295</v>
      </c>
      <c r="G284" t="s">
        <v>21</v>
      </c>
      <c r="H284" t="s">
        <v>1296</v>
      </c>
      <c r="I284" t="s">
        <v>34</v>
      </c>
      <c r="J284" s="6" t="str">
        <f t="shared" si="24"/>
        <v>ROSL NOT CLAIMED</v>
      </c>
      <c r="K284" s="6" t="str">
        <f>IF(J284="","",IF(J284="ROSL CLAIMED","ROSL CLAIMED","ROSL NOT CLAIMED"))</f>
        <v>ROSL NOT CLAIMED</v>
      </c>
      <c r="L284" s="8" t="str">
        <f t="shared" si="25"/>
        <v>NULL</v>
      </c>
      <c r="M284" s="6">
        <f t="shared" si="26"/>
        <v>0</v>
      </c>
      <c r="N284" s="9">
        <f t="shared" ca="1" si="27"/>
        <v>2920</v>
      </c>
      <c r="O284" s="6" t="str">
        <f t="shared" si="28"/>
        <v>GST Paid</v>
      </c>
      <c r="P284" t="str">
        <f t="shared" si="29"/>
        <v xml:space="preserve">TUGLAKABAD ICD (INTKD6) - Current Que LEO Date EP Copy Print Status DBK Scroll No Scroll Date EGM Integration Status
HIST  28 NOV 2017 00:11  Y  24208/2018  09 MAR 2018 00:03  Y </v>
      </c>
    </row>
    <row r="285" spans="1:16">
      <c r="A285" t="s">
        <v>16</v>
      </c>
      <c r="B285">
        <v>1099071</v>
      </c>
      <c r="C285" t="s">
        <v>1292</v>
      </c>
      <c r="D285" t="s">
        <v>1297</v>
      </c>
      <c r="E285" t="s">
        <v>1271</v>
      </c>
      <c r="F285" t="s">
        <v>1298</v>
      </c>
      <c r="G285" t="s">
        <v>21</v>
      </c>
      <c r="H285" t="s">
        <v>1299</v>
      </c>
      <c r="I285" t="s">
        <v>1300</v>
      </c>
      <c r="J285" s="6" t="str">
        <f t="shared" si="24"/>
        <v>ROSL NOT CLAIMED</v>
      </c>
      <c r="K285" s="6" t="str">
        <f>IF(J285="","",IF(J285="ROSL CLAIMED","ROSL CLAIMED","ROSL NOT CLAIMED"))</f>
        <v>ROSL NOT CLAIMED</v>
      </c>
      <c r="L285" s="8" t="str">
        <f t="shared" si="25"/>
        <v>NULL</v>
      </c>
      <c r="M285" s="6">
        <f t="shared" si="26"/>
        <v>0</v>
      </c>
      <c r="N285" s="9">
        <f t="shared" ca="1" si="27"/>
        <v>2920</v>
      </c>
      <c r="O285" s="6" t="str">
        <f t="shared" si="28"/>
        <v>GST Paid</v>
      </c>
      <c r="P285" t="str">
        <f t="shared" si="29"/>
        <v xml:space="preserve">TUGLAKABAD ICD (INTKD6) - Current Que LEO Date EP Copy Print Status DBK Scroll No Scroll Date EGM Integration Status
HIST  25 NOV 2017 00:11  Y  22915/2017  05 DEC 2017 00:12  Y </v>
      </c>
    </row>
    <row r="286" spans="1:16">
      <c r="A286" t="s">
        <v>16</v>
      </c>
      <c r="B286">
        <v>1168946</v>
      </c>
      <c r="C286" t="s">
        <v>1301</v>
      </c>
      <c r="D286" t="s">
        <v>1302</v>
      </c>
      <c r="E286" t="s">
        <v>1233</v>
      </c>
      <c r="F286" t="s">
        <v>1303</v>
      </c>
      <c r="G286" t="s">
        <v>21</v>
      </c>
      <c r="H286" t="s">
        <v>1304</v>
      </c>
      <c r="I286" t="s">
        <v>1305</v>
      </c>
      <c r="J286" s="6" t="str">
        <f t="shared" si="24"/>
        <v>ROSL NOT CLAIMED</v>
      </c>
      <c r="K286" s="6" t="str">
        <f>IF(J286="","",IF(J286="ROSL CLAIMED","ROSL CLAIMED","ROSL NOT CLAIMED"))</f>
        <v>ROSL NOT CLAIMED</v>
      </c>
      <c r="L286" s="8" t="str">
        <f t="shared" si="25"/>
        <v>NULL</v>
      </c>
      <c r="M286" s="6">
        <f t="shared" si="26"/>
        <v>0</v>
      </c>
      <c r="N286" s="9">
        <f t="shared" ca="1" si="27"/>
        <v>2916</v>
      </c>
      <c r="O286" s="6" t="str">
        <f t="shared" si="28"/>
        <v>GST Paid</v>
      </c>
      <c r="P286" t="str">
        <f t="shared" si="29"/>
        <v xml:space="preserve">TUGLAKABAD ICD (INTKD6) - Current Que LEO Date EP Copy Print Status DBK Scroll No Scroll Date EGM Integration Status
HIST  28 NOV 2017 00:11  Y  23003/2017  12 DEC 2017 00:12  Y </v>
      </c>
    </row>
    <row r="287" spans="1:16">
      <c r="A287" t="s">
        <v>16</v>
      </c>
      <c r="B287">
        <v>1181054</v>
      </c>
      <c r="C287" t="s">
        <v>1306</v>
      </c>
      <c r="D287" t="s">
        <v>1307</v>
      </c>
      <c r="E287" t="s">
        <v>1308</v>
      </c>
      <c r="F287" t="s">
        <v>1309</v>
      </c>
      <c r="G287" t="s">
        <v>21</v>
      </c>
      <c r="H287" t="s">
        <v>1310</v>
      </c>
      <c r="I287" t="s">
        <v>1311</v>
      </c>
      <c r="J287" s="6" t="str">
        <f t="shared" si="24"/>
        <v>ROSL NOT CLAIMED</v>
      </c>
      <c r="K287" s="6" t="str">
        <f>IF(J287="","",IF(J287="ROSL CLAIMED","ROSL CLAIMED","ROSL NOT CLAIMED"))</f>
        <v>ROSL NOT CLAIMED</v>
      </c>
      <c r="L287" s="8" t="str">
        <f t="shared" si="25"/>
        <v>NULL</v>
      </c>
      <c r="M287" s="6">
        <f t="shared" si="26"/>
        <v>0</v>
      </c>
      <c r="N287" s="9">
        <f t="shared" ca="1" si="27"/>
        <v>2915</v>
      </c>
      <c r="O287" s="6" t="str">
        <f t="shared" si="28"/>
        <v>GST Paid</v>
      </c>
      <c r="P287" t="str">
        <f t="shared" si="29"/>
        <v xml:space="preserve">TUGLAKABAD ICD (INTKD6) - Current Que LEO Date EP Copy Print Status DBK Scroll No Scroll Date EGM Integration Status
HIST  30 NOV 2017 00:11  Y  24432/2018  25 MAR 2018 00:03  Y </v>
      </c>
    </row>
    <row r="288" spans="1:16">
      <c r="A288" t="s">
        <v>16</v>
      </c>
      <c r="B288">
        <v>1192194</v>
      </c>
      <c r="C288" t="s">
        <v>1306</v>
      </c>
      <c r="D288" t="s">
        <v>1312</v>
      </c>
      <c r="E288" t="s">
        <v>1313</v>
      </c>
      <c r="F288" t="s">
        <v>1314</v>
      </c>
      <c r="G288" t="s">
        <v>21</v>
      </c>
      <c r="H288" t="s">
        <v>1315</v>
      </c>
      <c r="I288" t="s">
        <v>1316</v>
      </c>
      <c r="J288" s="6" t="str">
        <f t="shared" si="24"/>
        <v>ROSL NOT CLAIMED</v>
      </c>
      <c r="K288" s="6" t="str">
        <f>IF(J288="","",IF(J288="ROSL CLAIMED","ROSL CLAIMED","ROSL NOT CLAIMED"))</f>
        <v>ROSL NOT CLAIMED</v>
      </c>
      <c r="L288" s="8" t="str">
        <f t="shared" si="25"/>
        <v>06  0  806  N.A</v>
      </c>
      <c r="M288" s="6">
        <f t="shared" si="26"/>
        <v>0</v>
      </c>
      <c r="N288" s="9">
        <f t="shared" ca="1" si="27"/>
        <v>2915</v>
      </c>
      <c r="O288" s="6" t="str">
        <f t="shared" si="28"/>
        <v>GST Paid</v>
      </c>
      <c r="P288" t="str">
        <f t="shared" si="29"/>
        <v xml:space="preserve">TUGLAKABAD ICD (INTKD6) - Current Que LEO Date EP Copy Print Status DBK Scroll No Scroll Date EGM Integration Status
HIST  29 NOV 2017 00:11  Y  24432/2018  25 MAR 2018 00:03  Y </v>
      </c>
    </row>
    <row r="289" spans="1:16">
      <c r="A289" t="s">
        <v>16</v>
      </c>
      <c r="B289">
        <v>1197442</v>
      </c>
      <c r="C289" t="s">
        <v>1306</v>
      </c>
      <c r="D289" t="s">
        <v>1317</v>
      </c>
      <c r="E289" t="s">
        <v>1318</v>
      </c>
      <c r="F289" t="s">
        <v>1319</v>
      </c>
      <c r="G289" t="s">
        <v>39</v>
      </c>
      <c r="H289" t="s">
        <v>1320</v>
      </c>
      <c r="I289" t="s">
        <v>1321</v>
      </c>
      <c r="J289" s="6" t="str">
        <f t="shared" si="24"/>
        <v>ROSL CLAIMED</v>
      </c>
      <c r="K289" s="6" t="str">
        <f>IF(J289="","",IF(J289="ROSL CLAIMED","ROSL CLAIMED","ROSL NOT CLAIMED"))</f>
        <v>ROSL CLAIMED</v>
      </c>
      <c r="L289" s="8" t="str">
        <f t="shared" si="25"/>
        <v>06832  AAACC668</v>
      </c>
      <c r="M289" s="6">
        <f t="shared" si="26"/>
        <v>1</v>
      </c>
      <c r="N289" s="9">
        <f t="shared" ca="1" si="27"/>
        <v>2915</v>
      </c>
      <c r="O289" s="6" t="str">
        <f t="shared" si="28"/>
        <v>GST Paid</v>
      </c>
      <c r="P289" t="str">
        <f t="shared" si="29"/>
        <v xml:space="preserve">TUGLAKABAD ICD (INTKD6) - Current Que LEO Date EP Copy Print Status DBK Scroll No Scroll Date EGM Integration Status
HIST  01 DEC 2017 00:12  Y  N.A.  N.A.  Y </v>
      </c>
    </row>
    <row r="290" spans="1:16">
      <c r="A290" t="s">
        <v>16</v>
      </c>
      <c r="B290">
        <v>1206147</v>
      </c>
      <c r="C290" t="s">
        <v>1322</v>
      </c>
      <c r="D290" t="s">
        <v>1323</v>
      </c>
      <c r="E290" t="s">
        <v>1324</v>
      </c>
      <c r="F290" t="s">
        <v>1325</v>
      </c>
      <c r="G290" t="s">
        <v>39</v>
      </c>
      <c r="H290" t="s">
        <v>1326</v>
      </c>
      <c r="I290" t="s">
        <v>1327</v>
      </c>
      <c r="J290" s="6" t="str">
        <f t="shared" si="24"/>
        <v>ROSL CLAIMED</v>
      </c>
      <c r="K290" s="6" t="str">
        <f>IF(J290="","",IF(J290="ROSL CLAIMED","ROSL CLAIMED","ROSL NOT CLAIMED"))</f>
        <v>ROSL CLAIMED</v>
      </c>
      <c r="L290" s="8" t="str">
        <f t="shared" si="25"/>
        <v>NULL</v>
      </c>
      <c r="M290" s="6">
        <f t="shared" si="26"/>
        <v>1</v>
      </c>
      <c r="N290" s="9">
        <f t="shared" ca="1" si="27"/>
        <v>2914</v>
      </c>
      <c r="O290" s="6" t="str">
        <f t="shared" si="28"/>
        <v>GST Paid</v>
      </c>
      <c r="P290" t="str">
        <f t="shared" si="29"/>
        <v xml:space="preserve">TUGLAKABAD ICD (INTKD6) - Current Que LEO Date EP Copy Print Status DBK Scroll No Scroll Date EGM Integration Status
HIST  04 DEC 2017 00:12  Y  N.A.  N.A.  Y </v>
      </c>
    </row>
    <row r="291" spans="1:16">
      <c r="A291" t="s">
        <v>16</v>
      </c>
      <c r="B291">
        <v>1220745</v>
      </c>
      <c r="C291" t="s">
        <v>1322</v>
      </c>
      <c r="D291" t="s">
        <v>1328</v>
      </c>
      <c r="E291" t="s">
        <v>1329</v>
      </c>
      <c r="F291" t="s">
        <v>1330</v>
      </c>
      <c r="G291" t="s">
        <v>21</v>
      </c>
      <c r="H291" t="s">
        <v>1331</v>
      </c>
      <c r="I291" t="s">
        <v>1332</v>
      </c>
      <c r="J291" s="6" t="str">
        <f t="shared" si="24"/>
        <v>ROSL NOT CLAIMED</v>
      </c>
      <c r="K291" s="6" t="str">
        <f>IF(J291="","",IF(J291="ROSL CLAIMED","ROSL CLAIMED","ROSL NOT CLAIMED"))</f>
        <v>ROSL NOT CLAIMED</v>
      </c>
      <c r="L291" s="8" t="str">
        <f t="shared" si="25"/>
        <v>NULL</v>
      </c>
      <c r="M291" s="6">
        <f t="shared" si="26"/>
        <v>0</v>
      </c>
      <c r="N291" s="9">
        <f t="shared" ca="1" si="27"/>
        <v>2914</v>
      </c>
      <c r="O291" s="6" t="str">
        <f t="shared" si="28"/>
        <v>GST Paid</v>
      </c>
      <c r="P291" t="str">
        <f t="shared" si="29"/>
        <v xml:space="preserve">TUGLAKABAD ICD (INTKD6) - Current Que LEO Date EP Copy Print Status DBK Scroll No Scroll Date EGM Integration Status
HIST  04 DEC 2017 00:12  Y  23143/2017  22 DEC 2017 00:12  Y </v>
      </c>
    </row>
    <row r="292" spans="1:16">
      <c r="A292" t="s">
        <v>16</v>
      </c>
      <c r="B292">
        <v>1223298</v>
      </c>
      <c r="C292" t="s">
        <v>1322</v>
      </c>
      <c r="D292" t="s">
        <v>1333</v>
      </c>
      <c r="E292" t="s">
        <v>1334</v>
      </c>
      <c r="F292" t="s">
        <v>1335</v>
      </c>
      <c r="G292" t="s">
        <v>39</v>
      </c>
      <c r="H292" t="s">
        <v>1336</v>
      </c>
      <c r="I292" t="s">
        <v>34</v>
      </c>
      <c r="J292" s="6" t="str">
        <f t="shared" si="24"/>
        <v>ROSL CLAIMED</v>
      </c>
      <c r="K292" s="6" t="str">
        <f>IF(J292="","",IF(J292="ROSL CLAIMED","ROSL CLAIMED","ROSL NOT CLAIMED"))</f>
        <v>ROSL CLAIMED</v>
      </c>
      <c r="L292" s="8" t="str">
        <f t="shared" si="25"/>
        <v>NULL</v>
      </c>
      <c r="M292" s="6">
        <f t="shared" si="26"/>
        <v>1</v>
      </c>
      <c r="N292" s="9">
        <f t="shared" ca="1" si="27"/>
        <v>2914</v>
      </c>
      <c r="O292" s="6" t="str">
        <f t="shared" si="28"/>
        <v>GST Paid</v>
      </c>
      <c r="P292" t="str">
        <f t="shared" si="29"/>
        <v xml:space="preserve">TUGLAKABAD ICD (INTKD6) - Current Que LEO Date EP Copy Print Status DBK Scroll No Scroll Date EGM Integration Status
HIST  04 DEC 2017 00:12  R  N.A.  N.A.  Y </v>
      </c>
    </row>
    <row r="293" spans="1:16">
      <c r="A293" t="s">
        <v>16</v>
      </c>
      <c r="B293">
        <v>1223301</v>
      </c>
      <c r="C293" t="s">
        <v>1322</v>
      </c>
      <c r="D293" t="s">
        <v>1337</v>
      </c>
      <c r="E293" t="s">
        <v>1334</v>
      </c>
      <c r="F293" t="s">
        <v>1335</v>
      </c>
      <c r="G293" t="s">
        <v>39</v>
      </c>
      <c r="H293" t="s">
        <v>1338</v>
      </c>
      <c r="I293" t="s">
        <v>34</v>
      </c>
      <c r="J293" s="6" t="str">
        <f t="shared" si="24"/>
        <v>ROSL CLAIMED</v>
      </c>
      <c r="K293" s="6" t="str">
        <f>IF(J293="","",IF(J293="ROSL CLAIMED","ROSL CLAIMED","ROSL NOT CLAIMED"))</f>
        <v>ROSL CLAIMED</v>
      </c>
      <c r="L293" s="8" t="str">
        <f t="shared" si="25"/>
        <v>NULL</v>
      </c>
      <c r="M293" s="6">
        <f t="shared" si="26"/>
        <v>1</v>
      </c>
      <c r="N293" s="9">
        <f t="shared" ca="1" si="27"/>
        <v>2914</v>
      </c>
      <c r="O293" s="6" t="str">
        <f t="shared" si="28"/>
        <v>GST Paid</v>
      </c>
      <c r="P293" t="str">
        <f t="shared" si="29"/>
        <v xml:space="preserve">TUGLAKABAD ICD (INTKD6) - Current Que LEO Date EP Copy Print Status DBK Scroll No Scroll Date EGM Integration Status
HIST  04 DEC 2017 00:12  R  N.A.  N.A.  Y </v>
      </c>
    </row>
    <row r="294" spans="1:16">
      <c r="A294" t="s">
        <v>16</v>
      </c>
      <c r="B294">
        <v>1223387</v>
      </c>
      <c r="C294" t="s">
        <v>1322</v>
      </c>
      <c r="D294" t="s">
        <v>1339</v>
      </c>
      <c r="E294" t="s">
        <v>1340</v>
      </c>
      <c r="F294" t="s">
        <v>1341</v>
      </c>
      <c r="G294" t="s">
        <v>21</v>
      </c>
      <c r="H294" t="s">
        <v>1342</v>
      </c>
      <c r="I294" t="s">
        <v>1343</v>
      </c>
      <c r="J294" s="6" t="str">
        <f t="shared" si="24"/>
        <v>ROSL NOT CLAIMED</v>
      </c>
      <c r="K294" s="6" t="str">
        <f>IF(J294="","",IF(J294="ROSL CLAIMED","ROSL CLAIMED","ROSL NOT CLAIMED"))</f>
        <v>ROSL NOT CLAIMED</v>
      </c>
      <c r="L294" s="8" t="str">
        <f t="shared" si="25"/>
        <v>068212  AHDPK89</v>
      </c>
      <c r="M294" s="6">
        <f t="shared" si="26"/>
        <v>0</v>
      </c>
      <c r="N294" s="9">
        <f t="shared" ca="1" si="27"/>
        <v>2914</v>
      </c>
      <c r="O294" s="6" t="str">
        <f t="shared" si="28"/>
        <v>GST Paid</v>
      </c>
      <c r="P294" t="str">
        <f t="shared" si="29"/>
        <v xml:space="preserve">TUGLAKABAD ICD (INTKD6) - Current Que LEO Date EP Copy Print Status DBK Scroll No Scroll Date EGM Integration Status
HIST  06 DEC 2017 00:12  Y  23043/2017  15 DEC 2017 00:12  Y </v>
      </c>
    </row>
    <row r="295" spans="1:16">
      <c r="A295" t="s">
        <v>16</v>
      </c>
      <c r="B295">
        <v>1235474</v>
      </c>
      <c r="C295" t="s">
        <v>1344</v>
      </c>
      <c r="D295" t="s">
        <v>1345</v>
      </c>
      <c r="E295" t="s">
        <v>1346</v>
      </c>
      <c r="F295" t="s">
        <v>1347</v>
      </c>
      <c r="G295" t="s">
        <v>21</v>
      </c>
      <c r="H295" t="s">
        <v>1348</v>
      </c>
      <c r="I295" t="s">
        <v>1349</v>
      </c>
      <c r="J295" s="6" t="str">
        <f t="shared" si="24"/>
        <v>ROSL NOT CLAIMED</v>
      </c>
      <c r="K295" s="6" t="str">
        <f>IF(J295="","",IF(J295="ROSL CLAIMED","ROSL CLAIMED","ROSL NOT CLAIMED"))</f>
        <v>ROSL NOT CLAIMED</v>
      </c>
      <c r="L295" s="8" t="str">
        <f t="shared" si="25"/>
        <v>06LCH002  77476</v>
      </c>
      <c r="M295" s="6">
        <f t="shared" si="26"/>
        <v>0</v>
      </c>
      <c r="N295" s="9">
        <f t="shared" ca="1" si="27"/>
        <v>2913</v>
      </c>
      <c r="O295" s="6" t="str">
        <f t="shared" si="28"/>
        <v>GST Paid</v>
      </c>
      <c r="P295" t="str">
        <f t="shared" si="29"/>
        <v xml:space="preserve">TUGLAKABAD ICD (INTKD6) - Current Que LEO Date EP Copy Print Status DBK Scroll No Scroll Date EGM Integration Status
HIST  04 DEC 2017 00:12  Y  23043/2017  15 DEC 2017 00:12  Y </v>
      </c>
    </row>
    <row r="296" spans="1:16">
      <c r="A296" t="s">
        <v>16</v>
      </c>
      <c r="B296">
        <v>1247813</v>
      </c>
      <c r="C296" t="s">
        <v>1344</v>
      </c>
      <c r="D296" t="s">
        <v>1350</v>
      </c>
      <c r="E296" t="s">
        <v>1351</v>
      </c>
      <c r="F296" t="s">
        <v>1352</v>
      </c>
      <c r="G296" t="s">
        <v>21</v>
      </c>
      <c r="H296" t="s">
        <v>1353</v>
      </c>
      <c r="I296" t="s">
        <v>1354</v>
      </c>
      <c r="J296" s="6" t="str">
        <f t="shared" si="24"/>
        <v>ROSL NOT CLAIMED</v>
      </c>
      <c r="K296" s="6" t="str">
        <f>IF(J296="","",IF(J296="ROSL CLAIMED","ROSL CLAIMED","ROSL NOT CLAIMED"))</f>
        <v>ROSL NOT CLAIMED</v>
      </c>
      <c r="L296" s="8" t="str">
        <f t="shared" si="25"/>
        <v>0698  30 NOV 20</v>
      </c>
      <c r="M296" s="6">
        <f t="shared" si="26"/>
        <v>0</v>
      </c>
      <c r="N296" s="9">
        <f t="shared" ca="1" si="27"/>
        <v>2913</v>
      </c>
      <c r="O296" s="6" t="str">
        <f t="shared" si="28"/>
        <v>GST Paid</v>
      </c>
      <c r="P296" t="str">
        <f t="shared" si="29"/>
        <v xml:space="preserve">TUGLAKABAD ICD (INTKD6) - Current Que LEO Date EP Copy Print Status DBK Scroll No Scroll Date EGM Integration Status
HIST  01 DEC 2017 00:12  Y  23003/2017  12 DEC 2017 00:12  Y </v>
      </c>
    </row>
    <row r="297" spans="1:16">
      <c r="A297" t="s">
        <v>16</v>
      </c>
      <c r="B297">
        <v>1249499</v>
      </c>
      <c r="C297" t="s">
        <v>1344</v>
      </c>
      <c r="D297" t="s">
        <v>1355</v>
      </c>
      <c r="E297" t="s">
        <v>1351</v>
      </c>
      <c r="F297" t="s">
        <v>1356</v>
      </c>
      <c r="G297" t="s">
        <v>1357</v>
      </c>
      <c r="H297" t="s">
        <v>1358</v>
      </c>
      <c r="I297" t="s">
        <v>1349</v>
      </c>
      <c r="J297" s="6" t="str">
        <f t="shared" si="24"/>
        <v>NULL</v>
      </c>
      <c r="K297" s="6" t="str">
        <f>IF(J297="","",IF(J297="ROSL CLAIMED","ROSL CLAIMED","ROSL NOT CLAIMED"))</f>
        <v>ROSL NOT CLAIMED</v>
      </c>
      <c r="L297" s="8" t="str">
        <f t="shared" si="25"/>
        <v>NULL</v>
      </c>
      <c r="M297" s="6">
        <f t="shared" si="26"/>
        <v>0</v>
      </c>
      <c r="N297" s="9">
        <f t="shared" ca="1" si="27"/>
        <v>2913</v>
      </c>
      <c r="O297" s="6" t="str">
        <f t="shared" si="28"/>
        <v>GST Paid</v>
      </c>
      <c r="P297" t="str">
        <f t="shared" si="29"/>
        <v xml:space="preserve">TUGLAKABAD ICD (INTKD6) - Current Que LEO Date EP Copy Print Status DBK Scroll No Scroll Date EGM Integration Status
HIST  01 DEC 2017 00:12  Y  23003/2017  12 DEC 2017 00:12  Y </v>
      </c>
    </row>
    <row r="298" spans="1:16">
      <c r="A298" t="s">
        <v>16</v>
      </c>
      <c r="B298">
        <v>1249514</v>
      </c>
      <c r="C298" t="s">
        <v>1344</v>
      </c>
      <c r="D298" t="s">
        <v>1359</v>
      </c>
      <c r="E298" t="s">
        <v>1351</v>
      </c>
      <c r="F298" t="s">
        <v>1356</v>
      </c>
      <c r="G298" t="s">
        <v>1360</v>
      </c>
      <c r="H298" t="s">
        <v>1361</v>
      </c>
      <c r="I298" t="s">
        <v>1349</v>
      </c>
      <c r="J298" s="6" t="str">
        <f t="shared" si="24"/>
        <v>NULL</v>
      </c>
      <c r="K298" s="6" t="str">
        <f>IF(J298="","",IF(J298="ROSL CLAIMED","ROSL CLAIMED","ROSL NOT CLAIMED"))</f>
        <v>ROSL NOT CLAIMED</v>
      </c>
      <c r="L298" s="8" t="str">
        <f t="shared" si="25"/>
        <v>NULL</v>
      </c>
      <c r="M298" s="6">
        <f t="shared" si="26"/>
        <v>0</v>
      </c>
      <c r="N298" s="9">
        <f t="shared" ca="1" si="27"/>
        <v>2913</v>
      </c>
      <c r="O298" s="6" t="str">
        <f t="shared" si="28"/>
        <v>GST Paid</v>
      </c>
      <c r="P298" t="str">
        <f t="shared" si="29"/>
        <v xml:space="preserve">TUGLAKABAD ICD (INTKD6) - Current Que LEO Date EP Copy Print Status DBK Scroll No Scroll Date EGM Integration Status
HIST  01 DEC 2017 00:12  Y  23003/2017  12 DEC 2017 00:12  Y </v>
      </c>
    </row>
    <row r="299" spans="1:16">
      <c r="A299" t="s">
        <v>16</v>
      </c>
      <c r="B299">
        <v>1252402</v>
      </c>
      <c r="C299" t="s">
        <v>1344</v>
      </c>
      <c r="D299" t="s">
        <v>1362</v>
      </c>
      <c r="E299" t="s">
        <v>1363</v>
      </c>
      <c r="F299" t="s">
        <v>1364</v>
      </c>
      <c r="G299" t="s">
        <v>21</v>
      </c>
      <c r="H299" t="s">
        <v>1365</v>
      </c>
      <c r="I299" t="s">
        <v>1366</v>
      </c>
      <c r="J299" s="6" t="str">
        <f t="shared" si="24"/>
        <v>ROSL NOT CLAIMED</v>
      </c>
      <c r="K299" s="6" t="str">
        <f>IF(J299="","",IF(J299="ROSL CLAIMED","ROSL CLAIMED","ROSL NOT CLAIMED"))</f>
        <v>ROSL NOT CLAIMED</v>
      </c>
      <c r="L299" s="8" t="str">
        <f t="shared" si="25"/>
        <v>061  AADCR9553K</v>
      </c>
      <c r="M299" s="6">
        <f t="shared" si="26"/>
        <v>0</v>
      </c>
      <c r="N299" s="9">
        <f t="shared" ca="1" si="27"/>
        <v>2913</v>
      </c>
      <c r="O299" s="6" t="str">
        <f t="shared" si="28"/>
        <v>GST Paid</v>
      </c>
      <c r="P299" t="str">
        <f t="shared" si="29"/>
        <v xml:space="preserve">TUGLAKABAD ICD (INTKD6) - Current Que LEO Date EP Copy Print Status DBK Scroll No Scroll Date EGM Integration Status
HIST  05 DEC 2017 00:12  Y  23003/2017  12 DEC 2017 00:12  Y </v>
      </c>
    </row>
    <row r="300" spans="1:16">
      <c r="A300" t="s">
        <v>16</v>
      </c>
      <c r="B300">
        <v>1254519</v>
      </c>
      <c r="C300" t="s">
        <v>1344</v>
      </c>
      <c r="D300" t="s">
        <v>1367</v>
      </c>
      <c r="E300" t="s">
        <v>1368</v>
      </c>
      <c r="F300" t="s">
        <v>1364</v>
      </c>
      <c r="G300" t="s">
        <v>21</v>
      </c>
      <c r="H300" t="s">
        <v>1369</v>
      </c>
      <c r="I300" t="s">
        <v>1370</v>
      </c>
      <c r="J300" s="6" t="str">
        <f t="shared" si="24"/>
        <v>ROSL NOT CLAIMED</v>
      </c>
      <c r="K300" s="6" t="str">
        <f>IF(J300="","",IF(J300="ROSL CLAIMED","ROSL CLAIMED","ROSL NOT CLAIMED"))</f>
        <v>ROSL NOT CLAIMED</v>
      </c>
      <c r="L300" s="8" t="str">
        <f t="shared" si="25"/>
        <v>061  AADCR9553K</v>
      </c>
      <c r="M300" s="6">
        <f t="shared" si="26"/>
        <v>0</v>
      </c>
      <c r="N300" s="9">
        <f t="shared" ca="1" si="27"/>
        <v>2913</v>
      </c>
      <c r="O300" s="6" t="str">
        <f t="shared" si="28"/>
        <v>GST Paid</v>
      </c>
      <c r="P300" t="str">
        <f t="shared" si="29"/>
        <v xml:space="preserve">TUGLAKABAD ICD (INTKD6) - Current Que LEO Date EP Copy Print Status DBK Scroll No Scroll Date EGM Integration Status
HIST  05 DEC 2017 00:12  Y  24432/2018  25 MAR 2018 00:03  Y </v>
      </c>
    </row>
    <row r="301" spans="1:16">
      <c r="A301" t="s">
        <v>16</v>
      </c>
      <c r="B301">
        <v>1254838</v>
      </c>
      <c r="C301" t="s">
        <v>1344</v>
      </c>
      <c r="D301" t="s">
        <v>1371</v>
      </c>
      <c r="E301" t="s">
        <v>1372</v>
      </c>
      <c r="F301" t="s">
        <v>1373</v>
      </c>
      <c r="G301" t="s">
        <v>1374</v>
      </c>
      <c r="H301" t="s">
        <v>1375</v>
      </c>
      <c r="I301" t="s">
        <v>1376</v>
      </c>
      <c r="J301" s="6" t="str">
        <f t="shared" si="24"/>
        <v>NULL</v>
      </c>
      <c r="K301" s="6" t="str">
        <f>IF(J301="","",IF(J301="ROSL CLAIMED","ROSL CLAIMED","ROSL NOT CLAIMED"))</f>
        <v>ROSL NOT CLAIMED</v>
      </c>
      <c r="L301" s="8" t="str">
        <f t="shared" si="25"/>
        <v>064172  AKMPA90</v>
      </c>
      <c r="M301" s="6">
        <f t="shared" si="26"/>
        <v>0</v>
      </c>
      <c r="N301" s="9">
        <f t="shared" ca="1" si="27"/>
        <v>2913</v>
      </c>
      <c r="O301" s="6" t="str">
        <f t="shared" si="28"/>
        <v>GST Paid</v>
      </c>
      <c r="P301" t="str">
        <f t="shared" si="29"/>
        <v xml:space="preserve">TUGLAKABAD ICD (INTKD6) - Current Que LEO Date EP Copy Print Status DBK Scroll No Scroll Date EGM Integration Status
HIST  04 DEC 2017 00:12  Y  23003/2017  12 DEC 2017 00:12  Y </v>
      </c>
    </row>
    <row r="302" spans="1:16">
      <c r="A302" t="s">
        <v>16</v>
      </c>
      <c r="B302">
        <v>1255601</v>
      </c>
      <c r="C302" t="s">
        <v>1344</v>
      </c>
      <c r="D302" t="s">
        <v>1377</v>
      </c>
      <c r="E302" t="s">
        <v>1372</v>
      </c>
      <c r="F302" t="s">
        <v>1378</v>
      </c>
      <c r="G302" t="s">
        <v>21</v>
      </c>
      <c r="H302" t="s">
        <v>1379</v>
      </c>
      <c r="I302" t="s">
        <v>1380</v>
      </c>
      <c r="J302" s="6" t="str">
        <f t="shared" si="24"/>
        <v>ROSL NOT CLAIMED</v>
      </c>
      <c r="K302" s="6" t="str">
        <f>IF(J302="","",IF(J302="ROSL CLAIMED","ROSL CLAIMED","ROSL NOT CLAIMED"))</f>
        <v>ROSL NOT CLAIMED</v>
      </c>
      <c r="L302" s="8" t="str">
        <f t="shared" si="25"/>
        <v>NULL</v>
      </c>
      <c r="M302" s="6">
        <f t="shared" si="26"/>
        <v>0</v>
      </c>
      <c r="N302" s="9">
        <f t="shared" ca="1" si="27"/>
        <v>2913</v>
      </c>
      <c r="O302" s="6" t="str">
        <f t="shared" si="28"/>
        <v>GST Paid</v>
      </c>
      <c r="P302" t="str">
        <f t="shared" si="29"/>
        <v xml:space="preserve">TUGLAKABAD ICD (INTKD6) - Current Que LEO Date EP Copy Print Status DBK Scroll No Scroll Date EGM Integration Status
HIST  04 DEC 2017 00:12  Y  23003/2017  12 DEC 2017 00:12  Y </v>
      </c>
    </row>
    <row r="303" spans="1:16">
      <c r="A303" t="s">
        <v>16</v>
      </c>
      <c r="B303">
        <v>1269121</v>
      </c>
      <c r="C303" t="s">
        <v>1381</v>
      </c>
      <c r="D303" t="s">
        <v>1382</v>
      </c>
      <c r="E303" t="s">
        <v>1372</v>
      </c>
      <c r="F303" t="s">
        <v>1383</v>
      </c>
      <c r="G303" t="s">
        <v>21</v>
      </c>
      <c r="H303" t="s">
        <v>1384</v>
      </c>
      <c r="I303" t="s">
        <v>1385</v>
      </c>
      <c r="J303" s="6" t="str">
        <f t="shared" si="24"/>
        <v>ROSL NOT CLAIMED</v>
      </c>
      <c r="K303" s="6" t="str">
        <f>IF(J303="","",IF(J303="ROSL CLAIMED","ROSL CLAIMED","ROSL NOT CLAIMED"))</f>
        <v>ROSL NOT CLAIMED</v>
      </c>
      <c r="L303" s="8" t="str">
        <f t="shared" si="25"/>
        <v>065  AADCA0273B</v>
      </c>
      <c r="M303" s="6">
        <f t="shared" si="26"/>
        <v>0</v>
      </c>
      <c r="N303" s="9">
        <f t="shared" ca="1" si="27"/>
        <v>2912</v>
      </c>
      <c r="O303" s="6" t="str">
        <f t="shared" si="28"/>
        <v>GST Paid</v>
      </c>
      <c r="P303" t="str">
        <f t="shared" si="29"/>
        <v xml:space="preserve">TUGLAKABAD ICD (INTKD6) - Current Que LEO Date EP Copy Print Status DBK Scroll No Scroll Date EGM Integration Status
HIST  04 DEC 2017 00:12  Y  23003/2017  12 DEC 2017 00:12  Y </v>
      </c>
    </row>
    <row r="304" spans="1:16">
      <c r="A304" t="s">
        <v>16</v>
      </c>
      <c r="B304">
        <v>1274037</v>
      </c>
      <c r="C304" t="s">
        <v>1381</v>
      </c>
      <c r="D304" t="s">
        <v>1386</v>
      </c>
      <c r="E304" t="s">
        <v>1387</v>
      </c>
      <c r="F304" t="s">
        <v>1388</v>
      </c>
      <c r="G304" t="s">
        <v>21</v>
      </c>
      <c r="H304" t="s">
        <v>1389</v>
      </c>
      <c r="I304" t="s">
        <v>1390</v>
      </c>
      <c r="J304" s="6" t="str">
        <f t="shared" si="24"/>
        <v>ROSL NOT CLAIMED</v>
      </c>
      <c r="K304" s="6" t="str">
        <f>IF(J304="","",IF(J304="ROSL CLAIMED","ROSL CLAIMED","ROSL NOT CLAIMED"))</f>
        <v>ROSL NOT CLAIMED</v>
      </c>
      <c r="L304" s="8" t="str">
        <f t="shared" si="25"/>
        <v>NULL</v>
      </c>
      <c r="M304" s="6">
        <f t="shared" si="26"/>
        <v>0</v>
      </c>
      <c r="N304" s="9">
        <f t="shared" ca="1" si="27"/>
        <v>2912</v>
      </c>
      <c r="O304" s="6" t="str">
        <f t="shared" si="28"/>
        <v>GST Paid</v>
      </c>
      <c r="P304" t="str">
        <f t="shared" si="29"/>
        <v xml:space="preserve">TUGLAKABAD ICD (INTKD6) - Current Que LEO Date EP Copy Print Status DBK Scroll No Scroll Date EGM Integration Status
HIST  07 DEC 2017 00:12  Y  23143/2017  22 DEC 2017 00:12  Y </v>
      </c>
    </row>
    <row r="305" spans="1:16">
      <c r="A305" t="s">
        <v>16</v>
      </c>
      <c r="B305">
        <v>1277877</v>
      </c>
      <c r="C305" t="s">
        <v>1381</v>
      </c>
      <c r="D305" t="s">
        <v>1391</v>
      </c>
      <c r="E305" t="s">
        <v>1387</v>
      </c>
      <c r="F305" t="s">
        <v>1392</v>
      </c>
      <c r="G305" t="s">
        <v>1393</v>
      </c>
      <c r="H305" t="s">
        <v>1394</v>
      </c>
      <c r="I305" t="s">
        <v>1395</v>
      </c>
      <c r="J305" s="6" t="str">
        <f t="shared" si="24"/>
        <v>NULL</v>
      </c>
      <c r="K305" s="6" t="str">
        <f>IF(J305="","",IF(J305="ROSL CLAIMED","ROSL CLAIMED","ROSL NOT CLAIMED"))</f>
        <v>ROSL NOT CLAIMED</v>
      </c>
      <c r="L305" s="8" t="str">
        <f t="shared" si="25"/>
        <v>062359  AEEPG24</v>
      </c>
      <c r="M305" s="6">
        <f t="shared" si="26"/>
        <v>0</v>
      </c>
      <c r="N305" s="9">
        <f t="shared" ca="1" si="27"/>
        <v>2912</v>
      </c>
      <c r="O305" s="6" t="str">
        <f t="shared" si="28"/>
        <v>GST Paid</v>
      </c>
      <c r="P305" t="str">
        <f t="shared" si="29"/>
        <v xml:space="preserve">TUGLAKABAD ICD (INTKD6) - Current Que LEO Date EP Copy Print Status DBK Scroll No Scroll Date EGM Integration Status
HIST  07 DEC 2017 00:12  Y  23143/2017  22 DEC 2017 00:12  Y </v>
      </c>
    </row>
    <row r="306" spans="1:16">
      <c r="A306" t="s">
        <v>16</v>
      </c>
      <c r="B306">
        <v>1277880</v>
      </c>
      <c r="C306" t="s">
        <v>1381</v>
      </c>
      <c r="D306" t="s">
        <v>1396</v>
      </c>
      <c r="E306" t="s">
        <v>1397</v>
      </c>
      <c r="F306" t="s">
        <v>1392</v>
      </c>
      <c r="G306" t="s">
        <v>1398</v>
      </c>
      <c r="H306" t="s">
        <v>1399</v>
      </c>
      <c r="I306" t="s">
        <v>1395</v>
      </c>
      <c r="J306" s="6" t="str">
        <f t="shared" si="24"/>
        <v>NULL</v>
      </c>
      <c r="K306" s="6" t="str">
        <f>IF(J306="","",IF(J306="ROSL CLAIMED","ROSL CLAIMED","ROSL NOT CLAIMED"))</f>
        <v>ROSL NOT CLAIMED</v>
      </c>
      <c r="L306" s="8" t="str">
        <f t="shared" si="25"/>
        <v>062359  AEEPG24</v>
      </c>
      <c r="M306" s="6">
        <f t="shared" si="26"/>
        <v>0</v>
      </c>
      <c r="N306" s="9">
        <f t="shared" ca="1" si="27"/>
        <v>2912</v>
      </c>
      <c r="O306" s="6" t="str">
        <f t="shared" si="28"/>
        <v>GST Paid</v>
      </c>
      <c r="P306" t="str">
        <f t="shared" si="29"/>
        <v xml:space="preserve">TUGLAKABAD ICD (INTKD6) - Current Que LEO Date EP Copy Print Status DBK Scroll No Scroll Date EGM Integration Status
HIST  07 DEC 2017 00:12  Y  N.A.  N.A.  Y </v>
      </c>
    </row>
    <row r="307" spans="1:16">
      <c r="A307" t="s">
        <v>16</v>
      </c>
      <c r="B307">
        <v>1277951</v>
      </c>
      <c r="C307" t="s">
        <v>1381</v>
      </c>
      <c r="D307" t="s">
        <v>1400</v>
      </c>
      <c r="E307" t="s">
        <v>1397</v>
      </c>
      <c r="F307" t="s">
        <v>1392</v>
      </c>
      <c r="G307" t="s">
        <v>1398</v>
      </c>
      <c r="H307" t="s">
        <v>1399</v>
      </c>
      <c r="I307" t="s">
        <v>1395</v>
      </c>
      <c r="J307" s="6" t="str">
        <f t="shared" si="24"/>
        <v>NULL</v>
      </c>
      <c r="K307" s="6" t="str">
        <f>IF(J307="","",IF(J307="ROSL CLAIMED","ROSL CLAIMED","ROSL NOT CLAIMED"))</f>
        <v>ROSL NOT CLAIMED</v>
      </c>
      <c r="L307" s="8" t="str">
        <f t="shared" si="25"/>
        <v>062359  AEEPG24</v>
      </c>
      <c r="M307" s="6">
        <f t="shared" si="26"/>
        <v>0</v>
      </c>
      <c r="N307" s="9">
        <f t="shared" ca="1" si="27"/>
        <v>2912</v>
      </c>
      <c r="O307" s="6" t="str">
        <f t="shared" si="28"/>
        <v>GST Paid</v>
      </c>
      <c r="P307" t="str">
        <f t="shared" si="29"/>
        <v xml:space="preserve">TUGLAKABAD ICD (INTKD6) - Current Que LEO Date EP Copy Print Status DBK Scroll No Scroll Date EGM Integration Status
HIST  07 DEC 2017 00:12  Y  N.A.  N.A.  Y </v>
      </c>
    </row>
    <row r="308" spans="1:16">
      <c r="A308" t="s">
        <v>16</v>
      </c>
      <c r="B308">
        <v>1310855</v>
      </c>
      <c r="C308" t="s">
        <v>1401</v>
      </c>
      <c r="D308" t="s">
        <v>1402</v>
      </c>
      <c r="E308" t="s">
        <v>1403</v>
      </c>
      <c r="F308" t="s">
        <v>1404</v>
      </c>
      <c r="G308" t="s">
        <v>39</v>
      </c>
      <c r="H308" t="s">
        <v>1405</v>
      </c>
      <c r="I308" t="s">
        <v>1406</v>
      </c>
      <c r="J308" s="6" t="str">
        <f t="shared" si="24"/>
        <v>ROSL CLAIMED</v>
      </c>
      <c r="K308" s="6" t="str">
        <f>IF(J308="","",IF(J308="ROSL CLAIMED","ROSL CLAIMED","ROSL NOT CLAIMED"))</f>
        <v>ROSL CLAIMED</v>
      </c>
      <c r="L308" s="8" t="str">
        <f t="shared" si="25"/>
        <v>NULL</v>
      </c>
      <c r="M308" s="6">
        <f t="shared" si="26"/>
        <v>1</v>
      </c>
      <c r="N308" s="9">
        <f t="shared" ca="1" si="27"/>
        <v>2909</v>
      </c>
      <c r="O308" s="6" t="str">
        <f t="shared" si="28"/>
        <v>GST Paid</v>
      </c>
      <c r="P308" t="str">
        <f t="shared" si="29"/>
        <v xml:space="preserve">TUGLAKABAD ICD (INTKD6) - Current Que LEO Date EP Copy Print Status DBK Scroll No Scroll Date EGM Integration Status
HIST  06 DEC 2017 00:12  Y  N.A.  N.A.  Y </v>
      </c>
    </row>
    <row r="309" spans="1:16">
      <c r="A309" t="s">
        <v>16</v>
      </c>
      <c r="B309">
        <v>1317115</v>
      </c>
      <c r="C309" t="s">
        <v>1401</v>
      </c>
      <c r="D309" t="s">
        <v>1407</v>
      </c>
      <c r="E309" t="s">
        <v>1387</v>
      </c>
      <c r="F309" t="s">
        <v>1392</v>
      </c>
      <c r="G309" t="s">
        <v>1408</v>
      </c>
      <c r="H309" t="s">
        <v>1409</v>
      </c>
      <c r="I309" t="s">
        <v>1395</v>
      </c>
      <c r="J309" s="6" t="str">
        <f t="shared" si="24"/>
        <v>NULL</v>
      </c>
      <c r="K309" s="6" t="str">
        <f>IF(J309="","",IF(J309="ROSL CLAIMED","ROSL CLAIMED","ROSL NOT CLAIMED"))</f>
        <v>ROSL NOT CLAIMED</v>
      </c>
      <c r="L309" s="8" t="str">
        <f t="shared" si="25"/>
        <v>062359  AEEPG24</v>
      </c>
      <c r="M309" s="6">
        <f t="shared" si="26"/>
        <v>0</v>
      </c>
      <c r="N309" s="9">
        <f t="shared" ca="1" si="27"/>
        <v>2909</v>
      </c>
      <c r="O309" s="6" t="str">
        <f t="shared" si="28"/>
        <v>GST Paid</v>
      </c>
      <c r="P309" t="str">
        <f t="shared" si="29"/>
        <v xml:space="preserve">TUGLAKABAD ICD (INTKD6) - Current Que LEO Date EP Copy Print Status DBK Scroll No Scroll Date EGM Integration Status
HIST  07 DEC 2017 00:12  Y  23143/2017  22 DEC 2017 00:12  Y </v>
      </c>
    </row>
    <row r="310" spans="1:16">
      <c r="A310" t="s">
        <v>16</v>
      </c>
      <c r="B310">
        <v>1318155</v>
      </c>
      <c r="C310" t="s">
        <v>1401</v>
      </c>
      <c r="D310" t="s">
        <v>1410</v>
      </c>
      <c r="E310" t="s">
        <v>1387</v>
      </c>
      <c r="F310" t="s">
        <v>1411</v>
      </c>
      <c r="G310" t="s">
        <v>1412</v>
      </c>
      <c r="H310" t="s">
        <v>1413</v>
      </c>
      <c r="I310" t="s">
        <v>1395</v>
      </c>
      <c r="J310" s="6" t="str">
        <f t="shared" si="24"/>
        <v>NULL</v>
      </c>
      <c r="K310" s="6" t="str">
        <f>IF(J310="","",IF(J310="ROSL CLAIMED","ROSL CLAIMED","ROSL NOT CLAIMED"))</f>
        <v>ROSL NOT CLAIMED</v>
      </c>
      <c r="L310" s="8" t="str">
        <f t="shared" si="25"/>
        <v>062359  AEEPG24</v>
      </c>
      <c r="M310" s="6">
        <f t="shared" si="26"/>
        <v>0</v>
      </c>
      <c r="N310" s="9">
        <f t="shared" ca="1" si="27"/>
        <v>2909</v>
      </c>
      <c r="O310" s="6" t="str">
        <f t="shared" si="28"/>
        <v>GST Paid</v>
      </c>
      <c r="P310" t="str">
        <f t="shared" si="29"/>
        <v xml:space="preserve">TUGLAKABAD ICD (INTKD6) - Current Que LEO Date EP Copy Print Status DBK Scroll No Scroll Date EGM Integration Status
HIST  07 DEC 2017 00:12  Y  23143/2017  22 DEC 2017 00:12  Y </v>
      </c>
    </row>
    <row r="311" spans="1:16">
      <c r="A311" t="s">
        <v>16</v>
      </c>
      <c r="B311">
        <v>1318294</v>
      </c>
      <c r="C311" t="s">
        <v>1401</v>
      </c>
      <c r="D311" t="s">
        <v>1414</v>
      </c>
      <c r="E311" t="s">
        <v>1363</v>
      </c>
      <c r="F311" t="s">
        <v>1415</v>
      </c>
      <c r="G311" t="s">
        <v>21</v>
      </c>
      <c r="H311" t="s">
        <v>1416</v>
      </c>
      <c r="I311" t="s">
        <v>1417</v>
      </c>
      <c r="J311" s="6" t="str">
        <f t="shared" si="24"/>
        <v>ROSL NOT CLAIMED</v>
      </c>
      <c r="K311" s="6" t="str">
        <f>IF(J311="","",IF(J311="ROSL CLAIMED","ROSL CLAIMED","ROSL NOT CLAIMED"))</f>
        <v>ROSL NOT CLAIMED</v>
      </c>
      <c r="L311" s="8" t="str">
        <f t="shared" si="25"/>
        <v>NULL</v>
      </c>
      <c r="M311" s="6">
        <f t="shared" si="26"/>
        <v>0</v>
      </c>
      <c r="N311" s="9">
        <f t="shared" ca="1" si="27"/>
        <v>2909</v>
      </c>
      <c r="O311" s="6" t="str">
        <f t="shared" si="28"/>
        <v>GST Paid</v>
      </c>
      <c r="P311" t="str">
        <f t="shared" si="29"/>
        <v xml:space="preserve">TUGLAKABAD ICD (INTKD6) - Current Que LEO Date EP Copy Print Status DBK Scroll No Scroll Date EGM Integration Status
HIST  05 DEC 2017 00:12  Y  23003/2017  12 DEC 2017 00:12  Y </v>
      </c>
    </row>
    <row r="312" spans="1:16">
      <c r="A312" t="s">
        <v>16</v>
      </c>
      <c r="B312">
        <v>1323400</v>
      </c>
      <c r="C312" t="s">
        <v>1401</v>
      </c>
      <c r="D312" t="s">
        <v>1418</v>
      </c>
      <c r="E312" t="s">
        <v>1419</v>
      </c>
      <c r="F312" t="s">
        <v>1420</v>
      </c>
      <c r="G312" t="s">
        <v>21</v>
      </c>
      <c r="H312" t="s">
        <v>1421</v>
      </c>
      <c r="I312" t="s">
        <v>1422</v>
      </c>
      <c r="J312" s="6" t="str">
        <f t="shared" si="24"/>
        <v>ROSL NOT CLAIMED</v>
      </c>
      <c r="K312" s="6" t="str">
        <f>IF(J312="","",IF(J312="ROSL CLAIMED","ROSL CLAIMED","ROSL NOT CLAIMED"))</f>
        <v>ROSL NOT CLAIMED</v>
      </c>
      <c r="L312" s="8" t="str">
        <f t="shared" si="25"/>
        <v>NULL</v>
      </c>
      <c r="M312" s="6">
        <f t="shared" si="26"/>
        <v>0</v>
      </c>
      <c r="N312" s="9">
        <f t="shared" ca="1" si="27"/>
        <v>2909</v>
      </c>
      <c r="O312" s="6" t="str">
        <f t="shared" si="28"/>
        <v>GST Paid</v>
      </c>
      <c r="P312" t="str">
        <f t="shared" si="29"/>
        <v xml:space="preserve">TUGLAKABAD ICD (INTKD6) - Current Que LEO Date EP Copy Print Status DBK Scroll No Scroll Date EGM Integration Status
HIST  06 DEC 2017 00:12  Y  23143/2017  22 DEC 2017 00:12  Y </v>
      </c>
    </row>
    <row r="313" spans="1:16">
      <c r="A313" t="s">
        <v>16</v>
      </c>
      <c r="B313">
        <v>1341857</v>
      </c>
      <c r="C313" t="s">
        <v>1423</v>
      </c>
      <c r="D313" t="s">
        <v>1424</v>
      </c>
      <c r="E313" t="s">
        <v>1425</v>
      </c>
      <c r="F313" t="s">
        <v>1426</v>
      </c>
      <c r="G313" t="s">
        <v>1427</v>
      </c>
      <c r="H313" t="s">
        <v>1428</v>
      </c>
      <c r="I313" t="s">
        <v>1429</v>
      </c>
      <c r="J313" s="6" t="str">
        <f t="shared" si="24"/>
        <v>NULL</v>
      </c>
      <c r="K313" s="6" t="str">
        <f>IF(J313="","",IF(J313="ROSL CLAIMED","ROSL CLAIMED","ROSL NOT CLAIMED"))</f>
        <v>ROSL NOT CLAIMED</v>
      </c>
      <c r="L313" s="8" t="str">
        <f t="shared" si="25"/>
        <v>06QCH001  78597</v>
      </c>
      <c r="M313" s="6">
        <f t="shared" si="26"/>
        <v>0</v>
      </c>
      <c r="N313" s="9">
        <f t="shared" ca="1" si="27"/>
        <v>2908</v>
      </c>
      <c r="O313" s="6" t="str">
        <f t="shared" si="28"/>
        <v>GST Paid</v>
      </c>
      <c r="P313" t="str">
        <f t="shared" si="29"/>
        <v xml:space="preserve">TUGLAKABAD ICD (INTKD6) - Current Que LEO Date EP Copy Print Status DBK Scroll No Scroll Date EGM Integration Status
HIST  07 DEC 2017 00:12  Y  23003/2017  12 DEC 2017 00:12  Y </v>
      </c>
    </row>
    <row r="314" spans="1:16">
      <c r="A314" t="s">
        <v>16</v>
      </c>
      <c r="B314">
        <v>1349436</v>
      </c>
      <c r="C314" t="s">
        <v>1423</v>
      </c>
      <c r="D314" t="s">
        <v>1430</v>
      </c>
      <c r="E314" t="s">
        <v>1387</v>
      </c>
      <c r="F314" t="s">
        <v>1431</v>
      </c>
      <c r="G314" t="s">
        <v>21</v>
      </c>
      <c r="H314" t="s">
        <v>1432</v>
      </c>
      <c r="I314" t="s">
        <v>1433</v>
      </c>
      <c r="J314" s="6" t="str">
        <f t="shared" si="24"/>
        <v>ROSL NOT CLAIMED</v>
      </c>
      <c r="K314" s="6" t="str">
        <f>IF(J314="","",IF(J314="ROSL CLAIMED","ROSL CLAIMED","ROSL NOT CLAIMED"))</f>
        <v>ROSL NOT CLAIMED</v>
      </c>
      <c r="L314" s="8" t="str">
        <f t="shared" si="25"/>
        <v>NULL</v>
      </c>
      <c r="M314" s="6">
        <f t="shared" si="26"/>
        <v>0</v>
      </c>
      <c r="N314" s="9">
        <f t="shared" ca="1" si="27"/>
        <v>2908</v>
      </c>
      <c r="O314" s="6" t="str">
        <f t="shared" si="28"/>
        <v>GST Paid</v>
      </c>
      <c r="P314" t="str">
        <f t="shared" si="29"/>
        <v xml:space="preserve">TUGLAKABAD ICD (INTKD6) - Current Que LEO Date EP Copy Print Status DBK Scroll No Scroll Date EGM Integration Status
HIST  07 DEC 2017 00:12  Y  23143/2017  22 DEC 2017 00:12  Y </v>
      </c>
    </row>
    <row r="315" spans="1:16">
      <c r="A315" t="s">
        <v>16</v>
      </c>
      <c r="B315">
        <v>1349513</v>
      </c>
      <c r="C315" t="s">
        <v>1423</v>
      </c>
      <c r="D315" t="s">
        <v>1434</v>
      </c>
      <c r="E315" t="s">
        <v>1435</v>
      </c>
      <c r="F315" t="s">
        <v>1436</v>
      </c>
      <c r="G315" t="s">
        <v>21</v>
      </c>
      <c r="H315" t="s">
        <v>1437</v>
      </c>
      <c r="I315" t="s">
        <v>1438</v>
      </c>
      <c r="J315" s="6" t="str">
        <f t="shared" si="24"/>
        <v>ROSL NOT CLAIMED</v>
      </c>
      <c r="K315" s="6" t="str">
        <f>IF(J315="","",IF(J315="ROSL CLAIMED","ROSL CLAIMED","ROSL NOT CLAIMED"))</f>
        <v>ROSL NOT CLAIMED</v>
      </c>
      <c r="L315" s="8" t="str">
        <f t="shared" si="25"/>
        <v>NULL</v>
      </c>
      <c r="M315" s="6">
        <f t="shared" si="26"/>
        <v>0</v>
      </c>
      <c r="N315" s="9">
        <f t="shared" ca="1" si="27"/>
        <v>2908</v>
      </c>
      <c r="O315" s="6" t="str">
        <f t="shared" si="28"/>
        <v>GST Paid</v>
      </c>
      <c r="P315" t="str">
        <f t="shared" si="29"/>
        <v xml:space="preserve">TUGLAKABAD ICD (INTKD6) - Current Que LEO Date EP Copy Print Status DBK Scroll No Scroll Date EGM Integration Status
HIST  13 DEC 2017 00:12  Y  23143/2017  22 DEC 2017 00:12  Y </v>
      </c>
    </row>
    <row r="316" spans="1:16">
      <c r="A316" t="s">
        <v>16</v>
      </c>
      <c r="B316">
        <v>1350667</v>
      </c>
      <c r="C316" t="s">
        <v>1423</v>
      </c>
      <c r="D316" t="s">
        <v>1439</v>
      </c>
      <c r="E316" t="s">
        <v>1440</v>
      </c>
      <c r="F316" t="s">
        <v>1441</v>
      </c>
      <c r="G316" t="s">
        <v>21</v>
      </c>
      <c r="H316" t="s">
        <v>1442</v>
      </c>
      <c r="I316" t="s">
        <v>1443</v>
      </c>
      <c r="J316" s="6" t="str">
        <f t="shared" si="24"/>
        <v>ROSL NOT CLAIMED</v>
      </c>
      <c r="K316" s="6" t="str">
        <f>IF(J316="","",IF(J316="ROSL CLAIMED","ROSL CLAIMED","ROSL NOT CLAIMED"))</f>
        <v>ROSL NOT CLAIMED</v>
      </c>
      <c r="L316" s="8" t="str">
        <f t="shared" si="25"/>
        <v>NULL</v>
      </c>
      <c r="M316" s="6">
        <f t="shared" si="26"/>
        <v>0</v>
      </c>
      <c r="N316" s="9">
        <f t="shared" ca="1" si="27"/>
        <v>2908</v>
      </c>
      <c r="O316" s="6" t="str">
        <f t="shared" si="28"/>
        <v>GST Paid</v>
      </c>
      <c r="P316" t="str">
        <f t="shared" si="29"/>
        <v xml:space="preserve">TUGLAKABAD ICD (INTKD6) - Current Que LEO Date EP Copy Print Status DBK Scroll No Scroll Date EGM Integration Status
HIST  07 DEC 2017 00:12  Y  23043/2017  15 DEC 2017 00:12  Y </v>
      </c>
    </row>
    <row r="317" spans="1:16">
      <c r="A317" t="s">
        <v>16</v>
      </c>
      <c r="B317">
        <v>1364053</v>
      </c>
      <c r="C317" t="s">
        <v>1444</v>
      </c>
      <c r="D317" t="s">
        <v>1445</v>
      </c>
      <c r="E317" t="s">
        <v>1446</v>
      </c>
      <c r="F317" t="s">
        <v>1447</v>
      </c>
      <c r="G317" t="s">
        <v>39</v>
      </c>
      <c r="H317" t="s">
        <v>1448</v>
      </c>
      <c r="I317" t="s">
        <v>1449</v>
      </c>
      <c r="J317" s="6" t="str">
        <f t="shared" si="24"/>
        <v>ROSL CLAIMED</v>
      </c>
      <c r="K317" s="6" t="str">
        <f>IF(J317="","",IF(J317="ROSL CLAIMED","ROSL CLAIMED","ROSL NOT CLAIMED"))</f>
        <v>ROSL CLAIMED</v>
      </c>
      <c r="L317" s="8" t="str">
        <f t="shared" si="25"/>
        <v>06 DEC 2017 12:</v>
      </c>
      <c r="M317" s="6">
        <f t="shared" si="26"/>
        <v>1</v>
      </c>
      <c r="N317" s="9">
        <f t="shared" ca="1" si="27"/>
        <v>2907</v>
      </c>
      <c r="O317" s="6" t="str">
        <f t="shared" si="28"/>
        <v>GST Paid</v>
      </c>
      <c r="P317" t="str">
        <f t="shared" si="29"/>
        <v xml:space="preserve">TUGLAKABAD ICD (INTKD6) - Current Que LEO Date EP Copy Print Status DBK Scroll No Scroll Date EGM Integration Status
HIST  08 DEC 2017 00:12  Y  N.A.  N.A.  Y </v>
      </c>
    </row>
    <row r="318" spans="1:16">
      <c r="A318" t="s">
        <v>16</v>
      </c>
      <c r="B318">
        <v>1367821</v>
      </c>
      <c r="C318" t="s">
        <v>1444</v>
      </c>
      <c r="D318" t="s">
        <v>1450</v>
      </c>
      <c r="E318" t="s">
        <v>1451</v>
      </c>
      <c r="F318" t="s">
        <v>1452</v>
      </c>
      <c r="G318" t="s">
        <v>21</v>
      </c>
      <c r="H318" t="s">
        <v>1453</v>
      </c>
      <c r="I318" t="s">
        <v>1454</v>
      </c>
      <c r="J318" s="6" t="str">
        <f t="shared" si="24"/>
        <v>ROSL NOT CLAIMED</v>
      </c>
      <c r="K318" s="6" t="str">
        <f>IF(J318="","",IF(J318="ROSL CLAIMED","ROSL CLAIMED","ROSL NOT CLAIMED"))</f>
        <v>ROSL NOT CLAIMED</v>
      </c>
      <c r="L318" s="8" t="str">
        <f t="shared" si="25"/>
        <v>067969  ADXPJ16</v>
      </c>
      <c r="M318" s="6">
        <f t="shared" si="26"/>
        <v>0</v>
      </c>
      <c r="N318" s="9">
        <f t="shared" ca="1" si="27"/>
        <v>2907</v>
      </c>
      <c r="O318" s="6" t="str">
        <f t="shared" si="28"/>
        <v>GST Paid</v>
      </c>
      <c r="P318" t="str">
        <f t="shared" si="29"/>
        <v xml:space="preserve">TUGLAKABAD ICD (INTKD6) - Current Que LEO Date EP Copy Print Status DBK Scroll No Scroll Date EGM Integration Status
HIST  08 DEC 2017 00:12  Y  23237/2017  29 DEC 2017 00:12  Y </v>
      </c>
    </row>
    <row r="319" spans="1:16">
      <c r="A319" t="s">
        <v>16</v>
      </c>
      <c r="B319">
        <v>1381867</v>
      </c>
      <c r="C319" t="s">
        <v>1444</v>
      </c>
      <c r="D319" t="s">
        <v>1455</v>
      </c>
      <c r="E319" t="s">
        <v>1397</v>
      </c>
      <c r="F319" t="s">
        <v>1456</v>
      </c>
      <c r="G319" t="s">
        <v>39</v>
      </c>
      <c r="H319" t="s">
        <v>1457</v>
      </c>
      <c r="I319" t="s">
        <v>1385</v>
      </c>
      <c r="J319" s="6" t="str">
        <f t="shared" si="24"/>
        <v>ROSL CLAIMED</v>
      </c>
      <c r="K319" s="6" t="str">
        <f>IF(J319="","",IF(J319="ROSL CLAIMED","ROSL CLAIMED","ROSL NOT CLAIMED"))</f>
        <v>ROSL CLAIMED</v>
      </c>
      <c r="L319" s="8" t="str">
        <f t="shared" si="25"/>
        <v>06 DEC 2017 12:</v>
      </c>
      <c r="M319" s="6">
        <f t="shared" si="26"/>
        <v>1</v>
      </c>
      <c r="N319" s="9">
        <f t="shared" ca="1" si="27"/>
        <v>2907</v>
      </c>
      <c r="O319" s="6" t="str">
        <f t="shared" si="28"/>
        <v>GST Paid</v>
      </c>
      <c r="P319" t="str">
        <f t="shared" si="29"/>
        <v xml:space="preserve">TUGLAKABAD ICD (INTKD6) - Current Que LEO Date EP Copy Print Status DBK Scroll No Scroll Date EGM Integration Status
HIST  07 DEC 2017 00:12  Y  N.A.  N.A.  Y </v>
      </c>
    </row>
    <row r="320" spans="1:16">
      <c r="A320" t="s">
        <v>16</v>
      </c>
      <c r="B320">
        <v>1386534</v>
      </c>
      <c r="C320" t="s">
        <v>1458</v>
      </c>
      <c r="D320" t="s">
        <v>1459</v>
      </c>
      <c r="E320" t="s">
        <v>1446</v>
      </c>
      <c r="F320" t="s">
        <v>1460</v>
      </c>
      <c r="G320" t="s">
        <v>39</v>
      </c>
      <c r="H320" t="s">
        <v>1461</v>
      </c>
      <c r="I320" t="s">
        <v>1462</v>
      </c>
      <c r="J320" s="6" t="str">
        <f t="shared" si="24"/>
        <v>ROSL CLAIMED</v>
      </c>
      <c r="K320" s="6" t="str">
        <f>IF(J320="","",IF(J320="ROSL CLAIMED","ROSL CLAIMED","ROSL NOT CLAIMED"))</f>
        <v>ROSL CLAIMED</v>
      </c>
      <c r="L320" s="8" t="str">
        <f t="shared" si="25"/>
        <v>06837  07 DEC 2</v>
      </c>
      <c r="M320" s="6">
        <f t="shared" si="26"/>
        <v>1</v>
      </c>
      <c r="N320" s="9">
        <f t="shared" ca="1" si="27"/>
        <v>2906</v>
      </c>
      <c r="O320" s="6" t="str">
        <f t="shared" si="28"/>
        <v>GST Paid</v>
      </c>
      <c r="P320" t="str">
        <f t="shared" si="29"/>
        <v xml:space="preserve">TUGLAKABAD ICD (INTKD6) - Current Que LEO Date EP Copy Print Status DBK Scroll No Scroll Date EGM Integration Status
HIST  08 DEC 2017 00:12  Y  N.A.  N.A.  Y </v>
      </c>
    </row>
    <row r="321" spans="1:16">
      <c r="A321" t="s">
        <v>16</v>
      </c>
      <c r="B321">
        <v>1411047</v>
      </c>
      <c r="C321" t="s">
        <v>1458</v>
      </c>
      <c r="D321" t="s">
        <v>1463</v>
      </c>
      <c r="E321" t="s">
        <v>1464</v>
      </c>
      <c r="F321" t="s">
        <v>1465</v>
      </c>
      <c r="G321" t="s">
        <v>39</v>
      </c>
      <c r="H321" t="s">
        <v>1466</v>
      </c>
      <c r="I321" t="s">
        <v>1462</v>
      </c>
      <c r="J321" s="6" t="str">
        <f t="shared" si="24"/>
        <v>ROSL CLAIMED</v>
      </c>
      <c r="K321" s="6" t="str">
        <f>IF(J321="","",IF(J321="ROSL CLAIMED","ROSL CLAIMED","ROSL NOT CLAIMED"))</f>
        <v>ROSL CLAIMED</v>
      </c>
      <c r="L321" s="8" t="str">
        <f t="shared" si="25"/>
        <v>NULL</v>
      </c>
      <c r="M321" s="6">
        <f t="shared" si="26"/>
        <v>1</v>
      </c>
      <c r="N321" s="9">
        <f t="shared" ca="1" si="27"/>
        <v>2906</v>
      </c>
      <c r="O321" s="6" t="str">
        <f t="shared" si="28"/>
        <v>GST Paid</v>
      </c>
      <c r="P321" t="str">
        <f t="shared" si="29"/>
        <v xml:space="preserve">TUGLAKABAD ICD (INTKD6) - Current Que LEO Date EP Copy Print Status DBK Scroll No Scroll Date EGM Integration Status
HIST  11 DEC 2017 00:12  Y  N.A.  N.A.  Y </v>
      </c>
    </row>
    <row r="322" spans="1:16">
      <c r="A322" t="s">
        <v>16</v>
      </c>
      <c r="B322">
        <v>1466520</v>
      </c>
      <c r="C322" t="s">
        <v>1467</v>
      </c>
      <c r="D322" t="s">
        <v>1468</v>
      </c>
      <c r="E322" t="s">
        <v>1469</v>
      </c>
      <c r="F322" t="s">
        <v>1470</v>
      </c>
      <c r="G322" t="s">
        <v>21</v>
      </c>
      <c r="H322" t="s">
        <v>1471</v>
      </c>
      <c r="I322" t="s">
        <v>1472</v>
      </c>
      <c r="J322" s="6" t="str">
        <f t="shared" si="24"/>
        <v>ROSL NOT CLAIMED</v>
      </c>
      <c r="K322" s="6" t="str">
        <f>IF(J322="","",IF(J322="ROSL CLAIMED","ROSL CLAIMED","ROSL NOT CLAIMED"))</f>
        <v>ROSL NOT CLAIMED</v>
      </c>
      <c r="L322" s="8" t="str">
        <f t="shared" si="25"/>
        <v>NULL</v>
      </c>
      <c r="M322" s="6">
        <f t="shared" si="26"/>
        <v>0</v>
      </c>
      <c r="N322" s="9">
        <f t="shared" ca="1" si="27"/>
        <v>2902</v>
      </c>
      <c r="O322" s="6" t="str">
        <f t="shared" si="28"/>
        <v>GST Paid</v>
      </c>
      <c r="P322" t="str">
        <f t="shared" si="29"/>
        <v xml:space="preserve">TUGLAKABAD ICD (INTKD6) - Current Que LEO Date EP Copy Print Status DBK Scroll No Scroll Date EGM Integration Status
HIST  18 DEC 2017 00:12  Y  23237/2017  29 DEC 2017 00:12  Y </v>
      </c>
    </row>
    <row r="323" spans="1:16">
      <c r="A323" t="s">
        <v>16</v>
      </c>
      <c r="B323">
        <v>1468626</v>
      </c>
      <c r="C323" t="s">
        <v>1467</v>
      </c>
      <c r="D323" t="s">
        <v>1473</v>
      </c>
      <c r="E323" t="s">
        <v>1474</v>
      </c>
      <c r="F323" t="s">
        <v>1475</v>
      </c>
      <c r="G323" t="s">
        <v>21</v>
      </c>
      <c r="H323" t="s">
        <v>1476</v>
      </c>
      <c r="I323" t="s">
        <v>1477</v>
      </c>
      <c r="J323" s="6" t="str">
        <f t="shared" ref="J323:J380" si="30">IF(ISNUMBER(SEARCH("NULL",G323)),"ROSL CLAIMED",
IF(ISNUMBER(SEARCH("ROSL NOT CLAIMED",G323)),"ROSL NOT CLAIMED","NULL"))</f>
        <v>ROSL NOT CLAIMED</v>
      </c>
      <c r="K323" s="6" t="str">
        <f>IF(J323="","",IF(J323="ROSL CLAIMED","ROSL CLAIMED","ROSL NOT CLAIMED"))</f>
        <v>ROSL NOT CLAIMED</v>
      </c>
      <c r="L323" s="8" t="str">
        <f t="shared" ref="L323:L380" si="31">IFERROR(MID(D323, SEARCH("06", D323), 15), "NULL")</f>
        <v>NULL</v>
      </c>
      <c r="M323" s="6">
        <f t="shared" ref="M323:M380" si="32">IF(K323="","",IF(K323="ROSL CLAIMED",1,IF(K323="ROSL NOT CLAIMED",0,"")))</f>
        <v>0</v>
      </c>
      <c r="N323" s="9">
        <f t="shared" ref="N323:N380" ca="1" si="33">IF(C323&lt;&gt;"", TODAY()-C323, "")</f>
        <v>2902</v>
      </c>
      <c r="O323" s="6" t="str">
        <f t="shared" ref="O323:O380" si="34">IF(H323=0,"Missing GST", IF(H323&gt;0,"GST Paid",""))</f>
        <v>GST Paid</v>
      </c>
      <c r="P323" t="str">
        <f t="shared" ref="P323:P331" si="35">CONCATENATE(A323," - ",E323)</f>
        <v xml:space="preserve">TUGLAKABAD ICD (INTKD6) - Current Que LEO Date EP Copy Print Status DBK Scroll No Scroll Date EGM Integration Status
HIST  13 DEC 2017 00:12  Y  23237/2017  29 DEC 2017 00:12  Y </v>
      </c>
    </row>
    <row r="324" spans="1:16">
      <c r="A324" t="s">
        <v>16</v>
      </c>
      <c r="B324">
        <v>1469621</v>
      </c>
      <c r="C324" t="s">
        <v>1467</v>
      </c>
      <c r="D324" t="s">
        <v>1478</v>
      </c>
      <c r="E324" t="s">
        <v>1479</v>
      </c>
      <c r="F324" t="s">
        <v>1480</v>
      </c>
      <c r="G324" t="s">
        <v>21</v>
      </c>
      <c r="H324" t="s">
        <v>1481</v>
      </c>
      <c r="I324" t="s">
        <v>1482</v>
      </c>
      <c r="J324" s="6" t="str">
        <f t="shared" si="30"/>
        <v>ROSL NOT CLAIMED</v>
      </c>
      <c r="K324" s="6" t="str">
        <f>IF(J324="","",IF(J324="ROSL CLAIMED","ROSL CLAIMED","ROSL NOT CLAIMED"))</f>
        <v>ROSL NOT CLAIMED</v>
      </c>
      <c r="L324" s="8" t="str">
        <f t="shared" si="31"/>
        <v>NULL</v>
      </c>
      <c r="M324" s="6">
        <f t="shared" si="32"/>
        <v>0</v>
      </c>
      <c r="N324" s="9">
        <f t="shared" ca="1" si="33"/>
        <v>2902</v>
      </c>
      <c r="O324" s="6" t="str">
        <f t="shared" si="34"/>
        <v>GST Paid</v>
      </c>
      <c r="P324" t="str">
        <f t="shared" si="35"/>
        <v xml:space="preserve">TUGLAKABAD ICD (INTKD6) - Current Que LEO Date EP Copy Print Status DBK Scroll No Scroll Date EGM Integration Status
HIST  15 DEC 2017 00:12  Y  23143/2017  22 DEC 2017 00:12  Y </v>
      </c>
    </row>
    <row r="325" spans="1:16">
      <c r="A325" t="s">
        <v>16</v>
      </c>
      <c r="B325">
        <v>1471253</v>
      </c>
      <c r="C325" t="s">
        <v>1467</v>
      </c>
      <c r="D325" t="s">
        <v>1483</v>
      </c>
      <c r="E325" t="s">
        <v>1484</v>
      </c>
      <c r="F325" t="s">
        <v>1485</v>
      </c>
      <c r="G325" t="s">
        <v>39</v>
      </c>
      <c r="H325" t="s">
        <v>1486</v>
      </c>
      <c r="I325" t="s">
        <v>1487</v>
      </c>
      <c r="J325" s="6" t="str">
        <f t="shared" si="30"/>
        <v>ROSL CLAIMED</v>
      </c>
      <c r="K325" s="6" t="str">
        <f>IF(J325="","",IF(J325="ROSL CLAIMED","ROSL CLAIMED","ROSL NOT CLAIMED"))</f>
        <v>ROSL CLAIMED</v>
      </c>
      <c r="L325" s="8" t="str">
        <f t="shared" si="31"/>
        <v>NULL</v>
      </c>
      <c r="M325" s="6">
        <f t="shared" si="32"/>
        <v>1</v>
      </c>
      <c r="N325" s="9">
        <f t="shared" ca="1" si="33"/>
        <v>2902</v>
      </c>
      <c r="O325" s="6" t="str">
        <f t="shared" si="34"/>
        <v>GST Paid</v>
      </c>
      <c r="P325" t="str">
        <f t="shared" si="35"/>
        <v xml:space="preserve">TUGLAKABAD ICD (INTKD6) - Current Que LEO Date EP Copy Print Status DBK Scroll No Scroll Date EGM Integration Status
HIST  13 DEC 2017 00:12  Y  N.A.  N.A.  Y </v>
      </c>
    </row>
    <row r="326" spans="1:16">
      <c r="A326" t="s">
        <v>16</v>
      </c>
      <c r="B326">
        <v>1474614</v>
      </c>
      <c r="C326" t="s">
        <v>1467</v>
      </c>
      <c r="D326" t="s">
        <v>1488</v>
      </c>
      <c r="E326" t="s">
        <v>1489</v>
      </c>
      <c r="F326" t="s">
        <v>1490</v>
      </c>
      <c r="G326" t="s">
        <v>39</v>
      </c>
      <c r="H326" t="s">
        <v>1491</v>
      </c>
      <c r="I326" t="s">
        <v>1492</v>
      </c>
      <c r="J326" s="6" t="str">
        <f t="shared" si="30"/>
        <v>ROSL CLAIMED</v>
      </c>
      <c r="K326" s="6" t="str">
        <f>IF(J326="","",IF(J326="ROSL CLAIMED","ROSL CLAIMED","ROSL NOT CLAIMED"))</f>
        <v>ROSL CLAIMED</v>
      </c>
      <c r="L326" s="8" t="str">
        <f t="shared" si="31"/>
        <v>NULL</v>
      </c>
      <c r="M326" s="6">
        <f t="shared" si="32"/>
        <v>1</v>
      </c>
      <c r="N326" s="9">
        <f t="shared" ca="1" si="33"/>
        <v>2902</v>
      </c>
      <c r="O326" s="6" t="str">
        <f t="shared" si="34"/>
        <v>GST Paid</v>
      </c>
      <c r="P326" t="str">
        <f t="shared" si="35"/>
        <v xml:space="preserve">TUGLAKABAD ICD (INTKD6) - Current Que LEO Date EP Copy Print Status DBK Scroll No Scroll Date EGM Integration Status
HIST  15 DEC 2017 00:12  Y  N.A.  N.A.  Y </v>
      </c>
    </row>
    <row r="327" spans="1:16">
      <c r="A327" t="s">
        <v>16</v>
      </c>
      <c r="B327">
        <v>1486982</v>
      </c>
      <c r="C327" t="s">
        <v>1493</v>
      </c>
      <c r="D327" t="s">
        <v>1494</v>
      </c>
      <c r="E327" t="s">
        <v>1495</v>
      </c>
      <c r="F327" t="s">
        <v>1496</v>
      </c>
      <c r="G327" t="s">
        <v>39</v>
      </c>
      <c r="H327" t="s">
        <v>1497</v>
      </c>
      <c r="I327" t="s">
        <v>1498</v>
      </c>
      <c r="J327" s="6" t="str">
        <f t="shared" si="30"/>
        <v>ROSL CLAIMED</v>
      </c>
      <c r="K327" s="6" t="str">
        <f>IF(J327="","",IF(J327="ROSL CLAIMED","ROSL CLAIMED","ROSL NOT CLAIMED"))</f>
        <v>ROSL CLAIMED</v>
      </c>
      <c r="L327" s="8" t="str">
        <f t="shared" si="31"/>
        <v>NULL</v>
      </c>
      <c r="M327" s="6">
        <f t="shared" si="32"/>
        <v>1</v>
      </c>
      <c r="N327" s="9">
        <f t="shared" ca="1" si="33"/>
        <v>2901</v>
      </c>
      <c r="O327" s="6" t="str">
        <f t="shared" si="34"/>
        <v>GST Paid</v>
      </c>
      <c r="P327" t="str">
        <f t="shared" si="35"/>
        <v xml:space="preserve">TUGLAKABAD ICD (INTKD6) - Current Que LEO Date EP Copy Print Status DBK Scroll No Scroll Date EGM Integration Status
HIST  14 DEC 2017 00:12  Y  N.A.  N.A.  Y </v>
      </c>
    </row>
    <row r="328" spans="1:16">
      <c r="A328" t="s">
        <v>16</v>
      </c>
      <c r="B328">
        <v>1487575</v>
      </c>
      <c r="C328" t="s">
        <v>1493</v>
      </c>
      <c r="D328" t="s">
        <v>1499</v>
      </c>
      <c r="E328" t="s">
        <v>1500</v>
      </c>
      <c r="F328" t="s">
        <v>1501</v>
      </c>
      <c r="G328" t="s">
        <v>21</v>
      </c>
      <c r="H328" t="s">
        <v>1502</v>
      </c>
      <c r="I328" t="s">
        <v>1503</v>
      </c>
      <c r="J328" s="6" t="str">
        <f t="shared" si="30"/>
        <v>ROSL NOT CLAIMED</v>
      </c>
      <c r="K328" s="6" t="str">
        <f>IF(J328="","",IF(J328="ROSL CLAIMED","ROSL CLAIMED","ROSL NOT CLAIMED"))</f>
        <v>ROSL NOT CLAIMED</v>
      </c>
      <c r="L328" s="8" t="str">
        <f t="shared" si="31"/>
        <v>NULL</v>
      </c>
      <c r="M328" s="6">
        <f t="shared" si="32"/>
        <v>0</v>
      </c>
      <c r="N328" s="9">
        <f t="shared" ca="1" si="33"/>
        <v>2901</v>
      </c>
      <c r="O328" s="6" t="str">
        <f t="shared" si="34"/>
        <v>GST Paid</v>
      </c>
      <c r="P328" t="str">
        <f t="shared" si="35"/>
        <v xml:space="preserve">TUGLAKABAD ICD (INTKD6) - Current Que LEO Date EP Copy Print Status DBK Scroll No Scroll Date EGM Integration Status
HIST  13 DEC 2017 00:12  Y  23835/2018  15 FEB 2018 00:02  Y </v>
      </c>
    </row>
    <row r="329" spans="1:16">
      <c r="A329" t="s">
        <v>16</v>
      </c>
      <c r="B329">
        <v>1487979</v>
      </c>
      <c r="C329" t="s">
        <v>1493</v>
      </c>
      <c r="D329" t="s">
        <v>1504</v>
      </c>
      <c r="E329" t="s">
        <v>1505</v>
      </c>
      <c r="F329" t="s">
        <v>1475</v>
      </c>
      <c r="G329" t="s">
        <v>21</v>
      </c>
      <c r="H329" t="s">
        <v>1506</v>
      </c>
      <c r="I329" t="s">
        <v>1477</v>
      </c>
      <c r="J329" s="6" t="str">
        <f t="shared" si="30"/>
        <v>ROSL NOT CLAIMED</v>
      </c>
      <c r="K329" s="6" t="str">
        <f>IF(J329="","",IF(J329="ROSL CLAIMED","ROSL CLAIMED","ROSL NOT CLAIMED"))</f>
        <v>ROSL NOT CLAIMED</v>
      </c>
      <c r="L329" s="8" t="str">
        <f t="shared" si="31"/>
        <v xml:space="preserve">06  1039584  0 </v>
      </c>
      <c r="M329" s="6">
        <f t="shared" si="32"/>
        <v>0</v>
      </c>
      <c r="N329" s="9">
        <f t="shared" ca="1" si="33"/>
        <v>2901</v>
      </c>
      <c r="O329" s="6" t="str">
        <f t="shared" si="34"/>
        <v>GST Paid</v>
      </c>
      <c r="P329" t="str">
        <f t="shared" si="35"/>
        <v xml:space="preserve">TUGLAKABAD ICD (INTKD6) - Current Que LEO Date EP Copy Print Status DBK Scroll No Scroll Date EGM Integration Status
HIST  19 DEC 2017 00:12  Y  23237/2017  29 DEC 2017 00:12  Y </v>
      </c>
    </row>
    <row r="330" spans="1:16">
      <c r="A330" t="s">
        <v>16</v>
      </c>
      <c r="B330">
        <v>1509191</v>
      </c>
      <c r="C330" t="s">
        <v>1507</v>
      </c>
      <c r="D330" t="s">
        <v>1508</v>
      </c>
      <c r="E330" t="s">
        <v>1509</v>
      </c>
      <c r="F330" t="s">
        <v>1510</v>
      </c>
      <c r="G330" t="s">
        <v>21</v>
      </c>
      <c r="H330" t="s">
        <v>1511</v>
      </c>
      <c r="I330" t="s">
        <v>113</v>
      </c>
      <c r="J330" s="6" t="str">
        <f t="shared" si="30"/>
        <v>ROSL NOT CLAIMED</v>
      </c>
      <c r="K330" s="6" t="str">
        <f>IF(J330="","",IF(J330="ROSL CLAIMED","ROSL CLAIMED","ROSL NOT CLAIMED"))</f>
        <v>ROSL NOT CLAIMED</v>
      </c>
      <c r="L330" s="8" t="str">
        <f t="shared" si="31"/>
        <v>062  FHMPS1058E</v>
      </c>
      <c r="M330" s="6">
        <f t="shared" si="32"/>
        <v>0</v>
      </c>
      <c r="N330" s="9">
        <f t="shared" ca="1" si="33"/>
        <v>2900</v>
      </c>
      <c r="O330" s="6" t="str">
        <f t="shared" si="34"/>
        <v>GST Paid</v>
      </c>
      <c r="P330" t="str">
        <f t="shared" si="35"/>
        <v xml:space="preserve">TUGLAKABAD ICD (INTKD6) - Current Que LEO Date EP Copy Print Status DBK Scroll No Scroll Date EGM Integration Status
HIST  15 DEC 2017 00:12  Y  24082/2018  28 FEB 2018 00:02  Y </v>
      </c>
    </row>
    <row r="331" spans="1:16">
      <c r="A331" t="s">
        <v>16</v>
      </c>
      <c r="B331">
        <v>1512374</v>
      </c>
      <c r="C331" t="s">
        <v>1507</v>
      </c>
      <c r="D331" t="s">
        <v>1512</v>
      </c>
      <c r="E331" t="s">
        <v>1513</v>
      </c>
      <c r="F331" t="s">
        <v>1514</v>
      </c>
      <c r="G331" t="s">
        <v>21</v>
      </c>
      <c r="H331" t="s">
        <v>1515</v>
      </c>
      <c r="I331" t="s">
        <v>1472</v>
      </c>
      <c r="J331" s="6" t="str">
        <f t="shared" si="30"/>
        <v>ROSL NOT CLAIMED</v>
      </c>
      <c r="K331" s="6" t="str">
        <f>IF(J331="","",IF(J331="ROSL CLAIMED","ROSL CLAIMED","ROSL NOT CLAIMED"))</f>
        <v>ROSL NOT CLAIMED</v>
      </c>
      <c r="L331" s="8" t="str">
        <f t="shared" si="31"/>
        <v>NULL</v>
      </c>
      <c r="M331" s="6">
        <f t="shared" si="32"/>
        <v>0</v>
      </c>
      <c r="N331" s="9">
        <f t="shared" ca="1" si="33"/>
        <v>2900</v>
      </c>
      <c r="O331" s="6" t="str">
        <f t="shared" si="34"/>
        <v>GST Paid</v>
      </c>
      <c r="P331" t="str">
        <f t="shared" si="35"/>
        <v xml:space="preserve">TUGLAKABAD ICD (INTKD6) - Current Que LEO Date EP Copy Print Status DBK Scroll No Scroll Date EGM Integration Status
HIST  14 DEC 2017 00:12  Y  23143/2017  22 DEC 2017 00:12  Y </v>
      </c>
    </row>
    <row r="332" spans="1:16">
      <c r="A332" t="s">
        <v>16</v>
      </c>
      <c r="B332">
        <v>1521533</v>
      </c>
      <c r="C332" t="s">
        <v>1507</v>
      </c>
      <c r="D332" t="s">
        <v>1516</v>
      </c>
      <c r="E332" t="s">
        <v>1479</v>
      </c>
      <c r="F332" t="s">
        <v>1517</v>
      </c>
      <c r="G332" t="s">
        <v>21</v>
      </c>
      <c r="H332" t="s">
        <v>1518</v>
      </c>
      <c r="I332" t="s">
        <v>1519</v>
      </c>
      <c r="J332" s="6" t="str">
        <f t="shared" si="30"/>
        <v>ROSL NOT CLAIMED</v>
      </c>
      <c r="K332" s="6" t="str">
        <f>IF(J332="","",IF(J332="ROSL CLAIMED","ROSL CLAIMED","ROSL NOT CLAIMED"))</f>
        <v>ROSL NOT CLAIMED</v>
      </c>
      <c r="L332" s="8" t="str">
        <f t="shared" si="31"/>
        <v>NULL</v>
      </c>
      <c r="M332" s="6">
        <f t="shared" si="32"/>
        <v>0</v>
      </c>
      <c r="N332" s="9">
        <f t="shared" ca="1" si="33"/>
        <v>2900</v>
      </c>
      <c r="O332" s="6" t="str">
        <f t="shared" si="34"/>
        <v>GST Paid</v>
      </c>
      <c r="P332" t="str">
        <f>CONCATENATE(A332," - ",E332)</f>
        <v xml:space="preserve">TUGLAKABAD ICD (INTKD6) - Current Que LEO Date EP Copy Print Status DBK Scroll No Scroll Date EGM Integration Status
HIST  15 DEC 2017 00:12  Y  23143/2017  22 DEC 2017 00:12  Y </v>
      </c>
    </row>
    <row r="333" spans="1:16">
      <c r="A333" t="s">
        <v>16</v>
      </c>
      <c r="B333">
        <v>1523411</v>
      </c>
      <c r="C333" t="s">
        <v>1507</v>
      </c>
      <c r="D333" t="s">
        <v>1520</v>
      </c>
      <c r="E333" t="s">
        <v>1521</v>
      </c>
      <c r="F333" t="s">
        <v>1522</v>
      </c>
      <c r="G333" t="s">
        <v>21</v>
      </c>
      <c r="H333" t="s">
        <v>1523</v>
      </c>
      <c r="I333" t="s">
        <v>252</v>
      </c>
      <c r="J333" s="6" t="str">
        <f t="shared" si="30"/>
        <v>ROSL NOT CLAIMED</v>
      </c>
      <c r="K333" s="6" t="str">
        <f>IF(J333="","",IF(J333="ROSL CLAIMED","ROSL CLAIMED","ROSL NOT CLAIMED"))</f>
        <v>ROSL NOT CLAIMED</v>
      </c>
      <c r="L333" s="8" t="str">
        <f t="shared" si="31"/>
        <v>06014115  AAAFA</v>
      </c>
      <c r="M333" s="6">
        <f t="shared" si="32"/>
        <v>0</v>
      </c>
      <c r="N333" s="9">
        <f t="shared" ca="1" si="33"/>
        <v>2900</v>
      </c>
      <c r="O333" s="6" t="str">
        <f t="shared" si="34"/>
        <v>GST Paid</v>
      </c>
      <c r="P333" t="str">
        <f t="shared" ref="P333:P380" si="36">CONCATENATE(A333," - ",E333)</f>
        <v xml:space="preserve">TUGLAKABAD ICD (INTKD6) - Current Que LEO Date EP Copy Print Status DBK Scroll No Scroll Date EGM Integration Status
HIST  16 DEC 2017 00:12  Y  23143/2017  22 DEC 2017 00:12  Y </v>
      </c>
    </row>
    <row r="334" spans="1:16">
      <c r="A334" t="s">
        <v>16</v>
      </c>
      <c r="B334">
        <v>1546285</v>
      </c>
      <c r="C334" t="s">
        <v>1524</v>
      </c>
      <c r="D334" t="s">
        <v>1525</v>
      </c>
      <c r="E334" t="s">
        <v>1505</v>
      </c>
      <c r="F334" t="s">
        <v>1526</v>
      </c>
      <c r="G334" t="s">
        <v>21</v>
      </c>
      <c r="H334" t="s">
        <v>1527</v>
      </c>
      <c r="I334" t="s">
        <v>1327</v>
      </c>
      <c r="J334" s="6" t="str">
        <f t="shared" si="30"/>
        <v>ROSL NOT CLAIMED</v>
      </c>
      <c r="K334" s="6" t="str">
        <f>IF(J334="","",IF(J334="ROSL CLAIMED","ROSL CLAIMED","ROSL NOT CLAIMED"))</f>
        <v>ROSL NOT CLAIMED</v>
      </c>
      <c r="L334" s="8" t="str">
        <f t="shared" si="31"/>
        <v>NULL</v>
      </c>
      <c r="M334" s="6">
        <f t="shared" si="32"/>
        <v>0</v>
      </c>
      <c r="N334" s="9">
        <f t="shared" ca="1" si="33"/>
        <v>2899</v>
      </c>
      <c r="O334" s="6" t="str">
        <f t="shared" si="34"/>
        <v>GST Paid</v>
      </c>
      <c r="P334" t="str">
        <f t="shared" si="36"/>
        <v xml:space="preserve">TUGLAKABAD ICD (INTKD6) - Current Que LEO Date EP Copy Print Status DBK Scroll No Scroll Date EGM Integration Status
HIST  19 DEC 2017 00:12  Y  23237/2017  29 DEC 2017 00:12  Y </v>
      </c>
    </row>
    <row r="335" spans="1:16">
      <c r="A335" t="s">
        <v>16</v>
      </c>
      <c r="B335">
        <v>1547350</v>
      </c>
      <c r="C335" t="s">
        <v>1524</v>
      </c>
      <c r="D335" t="s">
        <v>1528</v>
      </c>
      <c r="E335" t="s">
        <v>1529</v>
      </c>
      <c r="F335" t="s">
        <v>1530</v>
      </c>
      <c r="G335" t="s">
        <v>39</v>
      </c>
      <c r="H335" t="s">
        <v>1531</v>
      </c>
      <c r="I335" t="s">
        <v>1498</v>
      </c>
      <c r="J335" s="6" t="str">
        <f t="shared" si="30"/>
        <v>ROSL CLAIMED</v>
      </c>
      <c r="K335" s="6" t="str">
        <f>IF(J335="","",IF(J335="ROSL CLAIMED","ROSL CLAIMED","ROSL NOT CLAIMED"))</f>
        <v>ROSL CLAIMED</v>
      </c>
      <c r="L335" s="8" t="str">
        <f t="shared" si="31"/>
        <v>NULL</v>
      </c>
      <c r="M335" s="6">
        <f t="shared" si="32"/>
        <v>1</v>
      </c>
      <c r="N335" s="9">
        <f t="shared" ca="1" si="33"/>
        <v>2899</v>
      </c>
      <c r="O335" s="6" t="str">
        <f t="shared" si="34"/>
        <v>GST Paid</v>
      </c>
      <c r="P335" t="str">
        <f t="shared" si="36"/>
        <v xml:space="preserve">TUGLAKABAD ICD (INTKD6) - Current Que LEO Date EP Copy Print Status DBK Scroll No Scroll Date EGM Integration Status
HIST  18 DEC 2017 00:12  Y  N.A.  N.A.  Y </v>
      </c>
    </row>
    <row r="336" spans="1:16">
      <c r="A336" t="s">
        <v>16</v>
      </c>
      <c r="B336">
        <v>1551135</v>
      </c>
      <c r="C336" t="s">
        <v>1524</v>
      </c>
      <c r="D336" t="s">
        <v>1532</v>
      </c>
      <c r="E336" t="s">
        <v>1489</v>
      </c>
      <c r="F336" t="s">
        <v>1533</v>
      </c>
      <c r="G336" t="s">
        <v>39</v>
      </c>
      <c r="H336" t="s">
        <v>1534</v>
      </c>
      <c r="I336" t="s">
        <v>1535</v>
      </c>
      <c r="J336" s="6" t="str">
        <f t="shared" si="30"/>
        <v>ROSL CLAIMED</v>
      </c>
      <c r="K336" s="6" t="str">
        <f>IF(J336="","",IF(J336="ROSL CLAIMED","ROSL CLAIMED","ROSL NOT CLAIMED"))</f>
        <v>ROSL CLAIMED</v>
      </c>
      <c r="L336" s="8" t="str">
        <f t="shared" si="31"/>
        <v>NULL</v>
      </c>
      <c r="M336" s="6">
        <f t="shared" si="32"/>
        <v>1</v>
      </c>
      <c r="N336" s="9">
        <f t="shared" ca="1" si="33"/>
        <v>2899</v>
      </c>
      <c r="O336" s="6" t="str">
        <f t="shared" si="34"/>
        <v>GST Paid</v>
      </c>
      <c r="P336" t="str">
        <f t="shared" si="36"/>
        <v xml:space="preserve">TUGLAKABAD ICD (INTKD6) - Current Que LEO Date EP Copy Print Status DBK Scroll No Scroll Date EGM Integration Status
HIST  15 DEC 2017 00:12  Y  N.A.  N.A.  Y </v>
      </c>
    </row>
    <row r="337" spans="1:16">
      <c r="A337" t="s">
        <v>16</v>
      </c>
      <c r="B337">
        <v>1566061</v>
      </c>
      <c r="C337" t="s">
        <v>1536</v>
      </c>
      <c r="D337" t="s">
        <v>1537</v>
      </c>
      <c r="E337" t="s">
        <v>1538</v>
      </c>
      <c r="F337" t="s">
        <v>1539</v>
      </c>
      <c r="G337" t="s">
        <v>39</v>
      </c>
      <c r="H337" t="s">
        <v>1540</v>
      </c>
      <c r="I337" t="s">
        <v>113</v>
      </c>
      <c r="J337" s="6" t="str">
        <f t="shared" si="30"/>
        <v>ROSL CLAIMED</v>
      </c>
      <c r="K337" s="6" t="str">
        <f>IF(J337="","",IF(J337="ROSL CLAIMED","ROSL CLAIMED","ROSL NOT CLAIMED"))</f>
        <v>ROSL CLAIMED</v>
      </c>
      <c r="L337" s="8" t="str">
        <f t="shared" si="31"/>
        <v>NULL</v>
      </c>
      <c r="M337" s="6">
        <f t="shared" si="32"/>
        <v>1</v>
      </c>
      <c r="N337" s="9">
        <f t="shared" ca="1" si="33"/>
        <v>2898</v>
      </c>
      <c r="O337" s="6" t="str">
        <f t="shared" si="34"/>
        <v>GST Paid</v>
      </c>
      <c r="P337" t="str">
        <f t="shared" si="36"/>
        <v xml:space="preserve">TUGLAKABAD ICD (INTKD6) - Current Que LEO Date EP Copy Print Status DBK Scroll No Scroll Date EGM Integration Status
HIST  19 DEC 2017 00:12  Y  N.A.  N.A.  Y </v>
      </c>
    </row>
    <row r="338" spans="1:16">
      <c r="A338" t="s">
        <v>16</v>
      </c>
      <c r="B338">
        <v>1568268</v>
      </c>
      <c r="C338" t="s">
        <v>1536</v>
      </c>
      <c r="D338" t="s">
        <v>1541</v>
      </c>
      <c r="E338" t="s">
        <v>1469</v>
      </c>
      <c r="F338" t="s">
        <v>1542</v>
      </c>
      <c r="G338" t="s">
        <v>21</v>
      </c>
      <c r="H338" t="s">
        <v>1543</v>
      </c>
      <c r="I338" t="s">
        <v>1544</v>
      </c>
      <c r="J338" s="6" t="str">
        <f t="shared" si="30"/>
        <v>ROSL NOT CLAIMED</v>
      </c>
      <c r="K338" s="6" t="str">
        <f>IF(J338="","",IF(J338="ROSL CLAIMED","ROSL CLAIMED","ROSL NOT CLAIMED"))</f>
        <v>ROSL NOT CLAIMED</v>
      </c>
      <c r="L338" s="8" t="str">
        <f t="shared" si="31"/>
        <v>NULL</v>
      </c>
      <c r="M338" s="6">
        <f t="shared" si="32"/>
        <v>0</v>
      </c>
      <c r="N338" s="9">
        <f t="shared" ca="1" si="33"/>
        <v>2898</v>
      </c>
      <c r="O338" s="6" t="str">
        <f t="shared" si="34"/>
        <v>GST Paid</v>
      </c>
      <c r="P338" t="str">
        <f t="shared" si="36"/>
        <v xml:space="preserve">TUGLAKABAD ICD (INTKD6) - Current Que LEO Date EP Copy Print Status DBK Scroll No Scroll Date EGM Integration Status
HIST  18 DEC 2017 00:12  Y  23237/2017  29 DEC 2017 00:12  Y </v>
      </c>
    </row>
    <row r="339" spans="1:16">
      <c r="A339" t="s">
        <v>16</v>
      </c>
      <c r="B339">
        <v>1579668</v>
      </c>
      <c r="C339" t="s">
        <v>1536</v>
      </c>
      <c r="D339" t="s">
        <v>1545</v>
      </c>
      <c r="E339" t="s">
        <v>1546</v>
      </c>
      <c r="F339" t="s">
        <v>1547</v>
      </c>
      <c r="G339" t="s">
        <v>21</v>
      </c>
      <c r="H339" t="s">
        <v>1548</v>
      </c>
      <c r="I339" t="s">
        <v>1549</v>
      </c>
      <c r="J339" s="6" t="str">
        <f t="shared" si="30"/>
        <v>ROSL NOT CLAIMED</v>
      </c>
      <c r="K339" s="6" t="str">
        <f>IF(J339="","",IF(J339="ROSL CLAIMED","ROSL CLAIMED","ROSL NOT CLAIMED"))</f>
        <v>ROSL NOT CLAIMED</v>
      </c>
      <c r="L339" s="8" t="str">
        <f t="shared" si="31"/>
        <v>065  AADCA0273B</v>
      </c>
      <c r="M339" s="6">
        <f t="shared" si="32"/>
        <v>0</v>
      </c>
      <c r="N339" s="9">
        <f t="shared" ca="1" si="33"/>
        <v>2898</v>
      </c>
      <c r="O339" s="6" t="str">
        <f t="shared" si="34"/>
        <v>GST Paid</v>
      </c>
      <c r="P339" t="str">
        <f t="shared" si="36"/>
        <v xml:space="preserve">TUGLAKABAD ICD (INTKD6) - Current Que LEO Date EP Copy Print Status DBK Scroll No Scroll Date EGM Integration Status
HIST  20 DEC 2017 00:12  Y  23414/2018  12 JAN 2018 00:01  Y </v>
      </c>
    </row>
    <row r="340" spans="1:16">
      <c r="A340" t="s">
        <v>16</v>
      </c>
      <c r="B340">
        <v>1580068</v>
      </c>
      <c r="C340" t="s">
        <v>1536</v>
      </c>
      <c r="D340" t="s">
        <v>1550</v>
      </c>
      <c r="E340" t="s">
        <v>1551</v>
      </c>
      <c r="F340" t="s">
        <v>1552</v>
      </c>
      <c r="G340" t="s">
        <v>21</v>
      </c>
      <c r="H340" t="s">
        <v>1553</v>
      </c>
      <c r="I340" t="s">
        <v>1554</v>
      </c>
      <c r="J340" s="6" t="str">
        <f t="shared" si="30"/>
        <v>ROSL NOT CLAIMED</v>
      </c>
      <c r="K340" s="6" t="str">
        <f>IF(J340="","",IF(J340="ROSL CLAIMED","ROSL CLAIMED","ROSL NOT CLAIMED"))</f>
        <v>ROSL NOT CLAIMED</v>
      </c>
      <c r="L340" s="8" t="str">
        <f t="shared" si="31"/>
        <v>NULL</v>
      </c>
      <c r="M340" s="6">
        <f t="shared" si="32"/>
        <v>0</v>
      </c>
      <c r="N340" s="9">
        <f t="shared" ca="1" si="33"/>
        <v>2898</v>
      </c>
      <c r="O340" s="6" t="str">
        <f t="shared" si="34"/>
        <v>GST Paid</v>
      </c>
      <c r="P340" t="str">
        <f t="shared" si="36"/>
        <v xml:space="preserve">TUGLAKABAD ICD (INTKD6) - Current Que LEO Date EP Copy Print Status DBK Scroll No Scroll Date EGM Integration Status
HIST  20 DEC 2017 00:12  Y  23237/2017  29 DEC 2017 00:12  Y </v>
      </c>
    </row>
    <row r="341" spans="1:16">
      <c r="A341" t="s">
        <v>16</v>
      </c>
      <c r="B341">
        <v>1609603</v>
      </c>
      <c r="C341" t="s">
        <v>1555</v>
      </c>
      <c r="D341" t="s">
        <v>1556</v>
      </c>
      <c r="E341" t="s">
        <v>1557</v>
      </c>
      <c r="F341" t="s">
        <v>1558</v>
      </c>
      <c r="G341" t="s">
        <v>39</v>
      </c>
      <c r="H341" t="s">
        <v>1559</v>
      </c>
      <c r="I341" t="s">
        <v>1498</v>
      </c>
      <c r="J341" s="6" t="str">
        <f t="shared" si="30"/>
        <v>ROSL CLAIMED</v>
      </c>
      <c r="K341" s="6" t="str">
        <f>IF(J341="","",IF(J341="ROSL CLAIMED","ROSL CLAIMED","ROSL NOT CLAIMED"))</f>
        <v>ROSL CLAIMED</v>
      </c>
      <c r="L341" s="8" t="str">
        <f t="shared" si="31"/>
        <v>NULL</v>
      </c>
      <c r="M341" s="6">
        <f t="shared" si="32"/>
        <v>1</v>
      </c>
      <c r="N341" s="9">
        <f t="shared" ca="1" si="33"/>
        <v>2895</v>
      </c>
      <c r="O341" s="6" t="str">
        <f t="shared" si="34"/>
        <v>GST Paid</v>
      </c>
      <c r="P341" t="str">
        <f t="shared" si="36"/>
        <v xml:space="preserve">TUGLAKABAD ICD (INTKD6) - Current Que LEO Date EP Copy Print Status DBK Scroll No Scroll Date EGM Integration Status
HIST  21 DEC 2017 00:12  Y  N.A.  N.A.  Y </v>
      </c>
    </row>
    <row r="342" spans="1:16">
      <c r="A342" t="s">
        <v>16</v>
      </c>
      <c r="B342">
        <v>1614481</v>
      </c>
      <c r="C342" t="s">
        <v>1555</v>
      </c>
      <c r="D342" t="s">
        <v>1560</v>
      </c>
      <c r="E342" t="s">
        <v>1561</v>
      </c>
      <c r="F342" t="s">
        <v>1562</v>
      </c>
      <c r="G342" t="s">
        <v>39</v>
      </c>
      <c r="H342" t="s">
        <v>1563</v>
      </c>
      <c r="I342" t="s">
        <v>1564</v>
      </c>
      <c r="J342" s="6" t="str">
        <f t="shared" si="30"/>
        <v>ROSL CLAIMED</v>
      </c>
      <c r="K342" s="6" t="str">
        <f>IF(J342="","",IF(J342="ROSL CLAIMED","ROSL CLAIMED","ROSL NOT CLAIMED"))</f>
        <v>ROSL CLAIMED</v>
      </c>
      <c r="L342" s="8" t="str">
        <f t="shared" si="31"/>
        <v>NULL</v>
      </c>
      <c r="M342" s="6">
        <f t="shared" si="32"/>
        <v>1</v>
      </c>
      <c r="N342" s="9">
        <f t="shared" ca="1" si="33"/>
        <v>2895</v>
      </c>
      <c r="O342" s="6" t="str">
        <f t="shared" si="34"/>
        <v>GST Paid</v>
      </c>
      <c r="P342" t="str">
        <f t="shared" si="36"/>
        <v xml:space="preserve">TUGLAKABAD ICD (INTKD6) - Current Que LEO Date EP Copy Print Status DBK Scroll No Scroll Date EGM Integration Status
HIST  27 DEC 2017 00:12  Y  N.A.  N.A.  Y </v>
      </c>
    </row>
    <row r="343" spans="1:16">
      <c r="A343" t="s">
        <v>16</v>
      </c>
      <c r="B343">
        <v>1616744</v>
      </c>
      <c r="C343" t="s">
        <v>1555</v>
      </c>
      <c r="D343" t="s">
        <v>1565</v>
      </c>
      <c r="E343" t="s">
        <v>1566</v>
      </c>
      <c r="F343" t="s">
        <v>1567</v>
      </c>
      <c r="G343" t="s">
        <v>21</v>
      </c>
      <c r="H343" t="s">
        <v>1568</v>
      </c>
      <c r="I343" t="s">
        <v>1569</v>
      </c>
      <c r="J343" s="6" t="str">
        <f t="shared" si="30"/>
        <v>ROSL NOT CLAIMED</v>
      </c>
      <c r="K343" s="6" t="str">
        <f>IF(J343="","",IF(J343="ROSL CLAIMED","ROSL CLAIMED","ROSL NOT CLAIMED"))</f>
        <v>ROSL NOT CLAIMED</v>
      </c>
      <c r="L343" s="8" t="str">
        <f t="shared" si="31"/>
        <v>NULL</v>
      </c>
      <c r="M343" s="6">
        <f t="shared" si="32"/>
        <v>0</v>
      </c>
      <c r="N343" s="9">
        <f t="shared" ca="1" si="33"/>
        <v>2895</v>
      </c>
      <c r="O343" s="6" t="str">
        <f t="shared" si="34"/>
        <v>GST Paid</v>
      </c>
      <c r="P343" t="str">
        <f t="shared" si="36"/>
        <v xml:space="preserve">TUGLAKABAD ICD (INTKD6) - Current Que LEO Date EP Copy Print Status DBK Scroll No Scroll Date EGM Integration Status
HIST  23 DEC 2017 00:12  Y  23328/2018  05 JAN 2018 00:01  Y </v>
      </c>
    </row>
    <row r="344" spans="1:16">
      <c r="A344" t="s">
        <v>16</v>
      </c>
      <c r="B344">
        <v>1622551</v>
      </c>
      <c r="C344" t="s">
        <v>1555</v>
      </c>
      <c r="D344" t="s">
        <v>1570</v>
      </c>
      <c r="E344" t="s">
        <v>1551</v>
      </c>
      <c r="F344" t="s">
        <v>1571</v>
      </c>
      <c r="G344" t="s">
        <v>21</v>
      </c>
      <c r="H344" t="s">
        <v>1572</v>
      </c>
      <c r="I344" t="s">
        <v>1573</v>
      </c>
      <c r="J344" s="6" t="str">
        <f t="shared" si="30"/>
        <v>ROSL NOT CLAIMED</v>
      </c>
      <c r="K344" s="6" t="str">
        <f>IF(J344="","",IF(J344="ROSL CLAIMED","ROSL CLAIMED","ROSL NOT CLAIMED"))</f>
        <v>ROSL NOT CLAIMED</v>
      </c>
      <c r="L344" s="8" t="str">
        <f t="shared" si="31"/>
        <v>NULL</v>
      </c>
      <c r="M344" s="6">
        <f t="shared" si="32"/>
        <v>0</v>
      </c>
      <c r="N344" s="9">
        <f t="shared" ca="1" si="33"/>
        <v>2895</v>
      </c>
      <c r="O344" s="6" t="str">
        <f t="shared" si="34"/>
        <v>GST Paid</v>
      </c>
      <c r="P344" t="str">
        <f t="shared" si="36"/>
        <v xml:space="preserve">TUGLAKABAD ICD (INTKD6) - Current Que LEO Date EP Copy Print Status DBK Scroll No Scroll Date EGM Integration Status
HIST  20 DEC 2017 00:12  Y  23237/2017  29 DEC 2017 00:12  Y </v>
      </c>
    </row>
    <row r="345" spans="1:16">
      <c r="A345" t="s">
        <v>16</v>
      </c>
      <c r="B345">
        <v>1622558</v>
      </c>
      <c r="C345" t="s">
        <v>1555</v>
      </c>
      <c r="D345" t="s">
        <v>1574</v>
      </c>
      <c r="E345" t="s">
        <v>1575</v>
      </c>
      <c r="F345" t="s">
        <v>1571</v>
      </c>
      <c r="G345" t="s">
        <v>21</v>
      </c>
      <c r="H345" t="s">
        <v>1576</v>
      </c>
      <c r="I345" t="s">
        <v>1573</v>
      </c>
      <c r="J345" s="6" t="str">
        <f t="shared" si="30"/>
        <v>ROSL NOT CLAIMED</v>
      </c>
      <c r="K345" s="6" t="str">
        <f>IF(J345="","",IF(J345="ROSL CLAIMED","ROSL CLAIMED","ROSL NOT CLAIMED"))</f>
        <v>ROSL NOT CLAIMED</v>
      </c>
      <c r="L345" s="8" t="str">
        <f t="shared" si="31"/>
        <v>068  18 DEC 201</v>
      </c>
      <c r="M345" s="6">
        <f t="shared" si="32"/>
        <v>0</v>
      </c>
      <c r="N345" s="9">
        <f t="shared" ca="1" si="33"/>
        <v>2895</v>
      </c>
      <c r="O345" s="6" t="str">
        <f t="shared" si="34"/>
        <v>GST Paid</v>
      </c>
      <c r="P345" t="str">
        <f t="shared" si="36"/>
        <v xml:space="preserve">TUGLAKABAD ICD (INTKD6) - Current Que LEO Date EP Copy Print Status DBK Scroll No Scroll Date EGM Integration Status
HIST  21 DEC 2017 00:12  Y  23237/2017  29 DEC 2017 00:12  Y </v>
      </c>
    </row>
    <row r="346" spans="1:16">
      <c r="A346" t="s">
        <v>16</v>
      </c>
      <c r="B346">
        <v>1630870</v>
      </c>
      <c r="C346" t="s">
        <v>1555</v>
      </c>
      <c r="D346" t="s">
        <v>1577</v>
      </c>
      <c r="E346" t="s">
        <v>1551</v>
      </c>
      <c r="F346" t="s">
        <v>1578</v>
      </c>
      <c r="G346" t="s">
        <v>21</v>
      </c>
      <c r="H346" t="s">
        <v>1579</v>
      </c>
      <c r="I346" t="s">
        <v>1580</v>
      </c>
      <c r="J346" s="6" t="str">
        <f t="shared" si="30"/>
        <v>ROSL NOT CLAIMED</v>
      </c>
      <c r="K346" s="6" t="str">
        <f>IF(J346="","",IF(J346="ROSL CLAIMED","ROSL CLAIMED","ROSL NOT CLAIMED"))</f>
        <v>ROSL NOT CLAIMED</v>
      </c>
      <c r="L346" s="8" t="str">
        <f t="shared" si="31"/>
        <v>NULL</v>
      </c>
      <c r="M346" s="6">
        <f t="shared" si="32"/>
        <v>0</v>
      </c>
      <c r="N346" s="9">
        <f t="shared" ca="1" si="33"/>
        <v>2895</v>
      </c>
      <c r="O346" s="6" t="str">
        <f t="shared" si="34"/>
        <v>GST Paid</v>
      </c>
      <c r="P346" t="str">
        <f t="shared" si="36"/>
        <v xml:space="preserve">TUGLAKABAD ICD (INTKD6) - Current Que LEO Date EP Copy Print Status DBK Scroll No Scroll Date EGM Integration Status
HIST  20 DEC 2017 00:12  Y  23237/2017  29 DEC 2017 00:12  Y </v>
      </c>
    </row>
    <row r="347" spans="1:16">
      <c r="A347" t="s">
        <v>16</v>
      </c>
      <c r="B347">
        <v>1657961</v>
      </c>
      <c r="C347" t="s">
        <v>1581</v>
      </c>
      <c r="D347" t="s">
        <v>1582</v>
      </c>
      <c r="E347" t="s">
        <v>1583</v>
      </c>
      <c r="F347" t="s">
        <v>1584</v>
      </c>
      <c r="G347" t="s">
        <v>39</v>
      </c>
      <c r="H347" t="s">
        <v>1585</v>
      </c>
      <c r="I347" t="s">
        <v>1586</v>
      </c>
      <c r="J347" s="6" t="str">
        <f t="shared" si="30"/>
        <v>ROSL CLAIMED</v>
      </c>
      <c r="K347" s="6" t="str">
        <f>IF(J347="","",IF(J347="ROSL CLAIMED","ROSL CLAIMED","ROSL NOT CLAIMED"))</f>
        <v>ROSL CLAIMED</v>
      </c>
      <c r="L347" s="8" t="str">
        <f t="shared" si="31"/>
        <v>NULL</v>
      </c>
      <c r="M347" s="6">
        <f t="shared" si="32"/>
        <v>1</v>
      </c>
      <c r="N347" s="9">
        <f t="shared" ca="1" si="33"/>
        <v>2894</v>
      </c>
      <c r="O347" s="6" t="str">
        <f t="shared" si="34"/>
        <v>GST Paid</v>
      </c>
      <c r="P347" t="str">
        <f t="shared" si="36"/>
        <v xml:space="preserve">TUGLAKABAD ICD (INTKD6) - Current Que LEO Date EP Copy Print Status DBK Scroll No Scroll Date EGM Integration Status
HIST  20 DEC 2017 00:12  Y  N.A.  N.A.  Y </v>
      </c>
    </row>
    <row r="348" spans="1:16">
      <c r="A348" t="s">
        <v>16</v>
      </c>
      <c r="B348">
        <v>1668810</v>
      </c>
      <c r="C348" t="s">
        <v>1587</v>
      </c>
      <c r="D348" t="s">
        <v>1588</v>
      </c>
      <c r="E348" t="s">
        <v>1589</v>
      </c>
      <c r="F348" t="s">
        <v>1590</v>
      </c>
      <c r="G348" t="s">
        <v>39</v>
      </c>
      <c r="H348" t="s">
        <v>1591</v>
      </c>
      <c r="I348" t="s">
        <v>1498</v>
      </c>
      <c r="J348" s="6" t="str">
        <f t="shared" si="30"/>
        <v>ROSL CLAIMED</v>
      </c>
      <c r="K348" s="6" t="str">
        <f>IF(J348="","",IF(J348="ROSL CLAIMED","ROSL CLAIMED","ROSL NOT CLAIMED"))</f>
        <v>ROSL CLAIMED</v>
      </c>
      <c r="L348" s="8" t="str">
        <f t="shared" si="31"/>
        <v>NULL</v>
      </c>
      <c r="M348" s="6">
        <f t="shared" si="32"/>
        <v>1</v>
      </c>
      <c r="N348" s="9">
        <f t="shared" ca="1" si="33"/>
        <v>2893</v>
      </c>
      <c r="O348" s="6" t="str">
        <f t="shared" si="34"/>
        <v>GST Paid</v>
      </c>
      <c r="P348" t="str">
        <f t="shared" si="36"/>
        <v xml:space="preserve">TUGLAKABAD ICD (INTKD6) - Current Que LEO Date EP Copy Print Status DBK Scroll No Scroll Date EGM Integration Status
HIST  22 DEC 2017 00:12  Y  N.A.  N.A.  Y </v>
      </c>
    </row>
    <row r="349" spans="1:16">
      <c r="A349" t="s">
        <v>16</v>
      </c>
      <c r="B349">
        <v>1670652</v>
      </c>
      <c r="C349" t="s">
        <v>1587</v>
      </c>
      <c r="D349" t="s">
        <v>1592</v>
      </c>
      <c r="E349" t="s">
        <v>1593</v>
      </c>
      <c r="F349" t="s">
        <v>1594</v>
      </c>
      <c r="G349" t="s">
        <v>21</v>
      </c>
      <c r="H349" t="s">
        <v>1595</v>
      </c>
      <c r="I349" t="s">
        <v>1596</v>
      </c>
      <c r="J349" s="6" t="str">
        <f t="shared" si="30"/>
        <v>ROSL NOT CLAIMED</v>
      </c>
      <c r="K349" s="6" t="str">
        <f>IF(J349="","",IF(J349="ROSL CLAIMED","ROSL CLAIMED","ROSL NOT CLAIMED"))</f>
        <v>ROSL NOT CLAIMED</v>
      </c>
      <c r="L349" s="8" t="str">
        <f t="shared" si="31"/>
        <v>NULL</v>
      </c>
      <c r="M349" s="6">
        <f t="shared" si="32"/>
        <v>0</v>
      </c>
      <c r="N349" s="9">
        <f t="shared" ca="1" si="33"/>
        <v>2893</v>
      </c>
      <c r="O349" s="6" t="str">
        <f t="shared" si="34"/>
        <v>GST Paid</v>
      </c>
      <c r="P349" t="str">
        <f t="shared" si="36"/>
        <v xml:space="preserve">TUGLAKABAD ICD (INTKD6) - Current Que LEO Date EP Copy Print Status DBK Scroll No Scroll Date EGM Integration Status
HIST  21 DEC 2017 00:12  Y  23328/2018  05 JAN 2018 00:01  Y </v>
      </c>
    </row>
    <row r="350" spans="1:16">
      <c r="A350" t="s">
        <v>16</v>
      </c>
      <c r="B350">
        <v>1671114</v>
      </c>
      <c r="C350" t="s">
        <v>1587</v>
      </c>
      <c r="D350" t="s">
        <v>1597</v>
      </c>
      <c r="E350" t="s">
        <v>1598</v>
      </c>
      <c r="F350" t="s">
        <v>1599</v>
      </c>
      <c r="G350" t="s">
        <v>21</v>
      </c>
      <c r="H350" t="s">
        <v>1600</v>
      </c>
      <c r="I350" t="s">
        <v>1601</v>
      </c>
      <c r="J350" s="6" t="str">
        <f t="shared" si="30"/>
        <v>ROSL NOT CLAIMED</v>
      </c>
      <c r="K350" s="6" t="str">
        <f>IF(J350="","",IF(J350="ROSL CLAIMED","ROSL CLAIMED","ROSL NOT CLAIMED"))</f>
        <v>ROSL NOT CLAIMED</v>
      </c>
      <c r="L350" s="8" t="str">
        <f t="shared" si="31"/>
        <v>06LCH002  82083</v>
      </c>
      <c r="M350" s="6">
        <f t="shared" si="32"/>
        <v>0</v>
      </c>
      <c r="N350" s="9">
        <f t="shared" ca="1" si="33"/>
        <v>2893</v>
      </c>
      <c r="O350" s="6" t="str">
        <f t="shared" si="34"/>
        <v>GST Paid</v>
      </c>
      <c r="P350" t="str">
        <f t="shared" si="36"/>
        <v xml:space="preserve">TUGLAKABAD ICD (INTKD6) - Current Que LEO Date EP Copy Print Status DBK Scroll No Scroll Date EGM Integration Status
HIST  22 DEC 2017 00:12  Y  23328/2018  05 JAN 2018 00:01  Y </v>
      </c>
    </row>
    <row r="351" spans="1:16">
      <c r="A351" t="s">
        <v>16</v>
      </c>
      <c r="B351">
        <v>1673346</v>
      </c>
      <c r="C351" t="s">
        <v>1587</v>
      </c>
      <c r="D351" t="s">
        <v>1602</v>
      </c>
      <c r="E351" t="s">
        <v>1557</v>
      </c>
      <c r="F351" t="s">
        <v>1475</v>
      </c>
      <c r="G351" t="s">
        <v>39</v>
      </c>
      <c r="H351" t="s">
        <v>1603</v>
      </c>
      <c r="I351" t="s">
        <v>1477</v>
      </c>
      <c r="J351" s="6" t="str">
        <f t="shared" si="30"/>
        <v>ROSL CLAIMED</v>
      </c>
      <c r="K351" s="6" t="str">
        <f>IF(J351="","",IF(J351="ROSL CLAIMED","ROSL CLAIMED","ROSL NOT CLAIMED"))</f>
        <v>ROSL CLAIMED</v>
      </c>
      <c r="L351" s="8" t="str">
        <f t="shared" si="31"/>
        <v>06329  AEAPD915</v>
      </c>
      <c r="M351" s="6">
        <f t="shared" si="32"/>
        <v>1</v>
      </c>
      <c r="N351" s="9">
        <f t="shared" ca="1" si="33"/>
        <v>2893</v>
      </c>
      <c r="O351" s="6" t="str">
        <f t="shared" si="34"/>
        <v>GST Paid</v>
      </c>
      <c r="P351" t="str">
        <f t="shared" si="36"/>
        <v xml:space="preserve">TUGLAKABAD ICD (INTKD6) - Current Que LEO Date EP Copy Print Status DBK Scroll No Scroll Date EGM Integration Status
HIST  21 DEC 2017 00:12  Y  N.A.  N.A.  Y </v>
      </c>
    </row>
    <row r="352" spans="1:16">
      <c r="A352" t="s">
        <v>16</v>
      </c>
      <c r="B352">
        <v>1682294</v>
      </c>
      <c r="C352" t="s">
        <v>1587</v>
      </c>
      <c r="D352" t="s">
        <v>1604</v>
      </c>
      <c r="E352" t="s">
        <v>1605</v>
      </c>
      <c r="F352" t="s">
        <v>1606</v>
      </c>
      <c r="G352" t="s">
        <v>21</v>
      </c>
      <c r="H352" t="s">
        <v>1607</v>
      </c>
      <c r="I352" t="s">
        <v>1608</v>
      </c>
      <c r="J352" s="6" t="str">
        <f t="shared" si="30"/>
        <v>ROSL NOT CLAIMED</v>
      </c>
      <c r="K352" s="6" t="str">
        <f>IF(J352="","",IF(J352="ROSL CLAIMED","ROSL CLAIMED","ROSL NOT CLAIMED"))</f>
        <v>ROSL NOT CLAIMED</v>
      </c>
      <c r="L352" s="8" t="str">
        <f t="shared" si="31"/>
        <v>NULL</v>
      </c>
      <c r="M352" s="6">
        <f t="shared" si="32"/>
        <v>0</v>
      </c>
      <c r="N352" s="9">
        <f t="shared" ca="1" si="33"/>
        <v>2893</v>
      </c>
      <c r="O352" s="6" t="str">
        <f t="shared" si="34"/>
        <v>GST Paid</v>
      </c>
      <c r="P352" t="str">
        <f t="shared" si="36"/>
        <v xml:space="preserve">TUGLAKABAD ICD (INTKD6) - Current Que LEO Date EP Copy Print Status DBK Scroll No Scroll Date EGM Integration Status
HIST  27 DEC 2017 00:12  Y  23328/2018  05 JAN 2018 00:01  Y </v>
      </c>
    </row>
    <row r="353" spans="1:16">
      <c r="A353" t="s">
        <v>16</v>
      </c>
      <c r="B353">
        <v>1694312</v>
      </c>
      <c r="C353" t="s">
        <v>1609</v>
      </c>
      <c r="D353" t="s">
        <v>1610</v>
      </c>
      <c r="E353" t="s">
        <v>1589</v>
      </c>
      <c r="F353" t="s">
        <v>1611</v>
      </c>
      <c r="G353" t="s">
        <v>39</v>
      </c>
      <c r="H353" t="s">
        <v>1612</v>
      </c>
      <c r="I353" t="s">
        <v>1613</v>
      </c>
      <c r="J353" s="6" t="str">
        <f t="shared" si="30"/>
        <v>ROSL CLAIMED</v>
      </c>
      <c r="K353" s="6" t="str">
        <f>IF(J353="","",IF(J353="ROSL CLAIMED","ROSL CLAIMED","ROSL NOT CLAIMED"))</f>
        <v>ROSL CLAIMED</v>
      </c>
      <c r="L353" s="8" t="str">
        <f t="shared" si="31"/>
        <v>NULL</v>
      </c>
      <c r="M353" s="6">
        <f t="shared" si="32"/>
        <v>1</v>
      </c>
      <c r="N353" s="9">
        <f t="shared" ca="1" si="33"/>
        <v>2892</v>
      </c>
      <c r="O353" s="6" t="str">
        <f t="shared" si="34"/>
        <v>GST Paid</v>
      </c>
      <c r="P353" t="str">
        <f t="shared" si="36"/>
        <v xml:space="preserve">TUGLAKABAD ICD (INTKD6) - Current Que LEO Date EP Copy Print Status DBK Scroll No Scroll Date EGM Integration Status
HIST  22 DEC 2017 00:12  Y  N.A.  N.A.  Y </v>
      </c>
    </row>
    <row r="354" spans="1:16">
      <c r="A354" t="s">
        <v>16</v>
      </c>
      <c r="B354">
        <v>1696466</v>
      </c>
      <c r="C354" t="s">
        <v>1609</v>
      </c>
      <c r="D354" t="s">
        <v>1614</v>
      </c>
      <c r="E354" t="s">
        <v>1615</v>
      </c>
      <c r="F354" t="s">
        <v>1616</v>
      </c>
      <c r="G354" t="s">
        <v>39</v>
      </c>
      <c r="H354" t="s">
        <v>1617</v>
      </c>
      <c r="I354" t="s">
        <v>1498</v>
      </c>
      <c r="J354" s="6" t="str">
        <f t="shared" si="30"/>
        <v>ROSL CLAIMED</v>
      </c>
      <c r="K354" s="6" t="str">
        <f>IF(J354="","",IF(J354="ROSL CLAIMED","ROSL CLAIMED","ROSL NOT CLAIMED"))</f>
        <v>ROSL CLAIMED</v>
      </c>
      <c r="L354" s="8" t="str">
        <f t="shared" si="31"/>
        <v>NULL</v>
      </c>
      <c r="M354" s="6">
        <f t="shared" si="32"/>
        <v>1</v>
      </c>
      <c r="N354" s="9">
        <f t="shared" ca="1" si="33"/>
        <v>2892</v>
      </c>
      <c r="O354" s="6" t="str">
        <f t="shared" si="34"/>
        <v>GST Paid</v>
      </c>
      <c r="P354" t="str">
        <f t="shared" si="36"/>
        <v xml:space="preserve">TUGLAKABAD ICD (INTKD6) - Current Que LEO Date EP Copy Print Status DBK Scroll No Scroll Date EGM Integration Status
HIST  26 DEC 2017 00:12  Y  N.A.  N.A.  Y </v>
      </c>
    </row>
    <row r="355" spans="1:16">
      <c r="A355" t="s">
        <v>16</v>
      </c>
      <c r="B355">
        <v>1705753</v>
      </c>
      <c r="C355" t="s">
        <v>1609</v>
      </c>
      <c r="D355" t="s">
        <v>1618</v>
      </c>
      <c r="E355" t="s">
        <v>1619</v>
      </c>
      <c r="F355" t="s">
        <v>1620</v>
      </c>
      <c r="G355" t="s">
        <v>21</v>
      </c>
      <c r="H355" t="s">
        <v>1621</v>
      </c>
      <c r="I355" t="s">
        <v>1622</v>
      </c>
      <c r="J355" s="6" t="str">
        <f t="shared" si="30"/>
        <v>ROSL NOT CLAIMED</v>
      </c>
      <c r="K355" s="6" t="str">
        <f>IF(J355="","",IF(J355="ROSL CLAIMED","ROSL CLAIMED","ROSL NOT CLAIMED"))</f>
        <v>ROSL NOT CLAIMED</v>
      </c>
      <c r="L355" s="8" t="str">
        <f t="shared" si="31"/>
        <v>NULL</v>
      </c>
      <c r="M355" s="6">
        <f t="shared" si="32"/>
        <v>0</v>
      </c>
      <c r="N355" s="9">
        <f t="shared" ca="1" si="33"/>
        <v>2892</v>
      </c>
      <c r="O355" s="6" t="str">
        <f t="shared" si="34"/>
        <v>GST Paid</v>
      </c>
      <c r="P355" t="str">
        <f t="shared" si="36"/>
        <v xml:space="preserve">TUGLAKABAD ICD (INTKD6) - Current Que LEO Date EP Copy Print Status DBK Scroll No Scroll Date EGM Integration Status
HIST  26 DEC 2017 00:12  Y  23328/2018  05 JAN 2018 00:01  Y </v>
      </c>
    </row>
    <row r="356" spans="1:16">
      <c r="A356" t="s">
        <v>16</v>
      </c>
      <c r="B356">
        <v>1718128</v>
      </c>
      <c r="C356" t="s">
        <v>1623</v>
      </c>
      <c r="D356" t="s">
        <v>1624</v>
      </c>
      <c r="E356" t="s">
        <v>1566</v>
      </c>
      <c r="F356" t="s">
        <v>1625</v>
      </c>
      <c r="G356" t="s">
        <v>21</v>
      </c>
      <c r="H356" t="s">
        <v>1626</v>
      </c>
      <c r="I356" t="s">
        <v>1627</v>
      </c>
      <c r="J356" s="6" t="str">
        <f t="shared" si="30"/>
        <v>ROSL NOT CLAIMED</v>
      </c>
      <c r="K356" s="6" t="str">
        <f>IF(J356="","",IF(J356="ROSL CLAIMED","ROSL CLAIMED","ROSL NOT CLAIMED"))</f>
        <v>ROSL NOT CLAIMED</v>
      </c>
      <c r="L356" s="8" t="str">
        <f t="shared" si="31"/>
        <v xml:space="preserve">0677  0  10677 </v>
      </c>
      <c r="M356" s="6">
        <f t="shared" si="32"/>
        <v>0</v>
      </c>
      <c r="N356" s="9">
        <f t="shared" ca="1" si="33"/>
        <v>2891</v>
      </c>
      <c r="O356" s="6" t="str">
        <f t="shared" si="34"/>
        <v>GST Paid</v>
      </c>
      <c r="P356" t="str">
        <f t="shared" si="36"/>
        <v xml:space="preserve">TUGLAKABAD ICD (INTKD6) - Current Que LEO Date EP Copy Print Status DBK Scroll No Scroll Date EGM Integration Status
HIST  23 DEC 2017 00:12  Y  23328/2018  05 JAN 2018 00:01  Y </v>
      </c>
    </row>
    <row r="357" spans="1:16">
      <c r="A357" t="s">
        <v>16</v>
      </c>
      <c r="B357">
        <v>1719344</v>
      </c>
      <c r="C357" t="s">
        <v>1623</v>
      </c>
      <c r="D357" t="s">
        <v>1610</v>
      </c>
      <c r="E357" t="s">
        <v>1561</v>
      </c>
      <c r="F357" t="s">
        <v>1628</v>
      </c>
      <c r="G357" t="s">
        <v>39</v>
      </c>
      <c r="H357" t="s">
        <v>1629</v>
      </c>
      <c r="I357" t="s">
        <v>1630</v>
      </c>
      <c r="J357" s="6" t="str">
        <f t="shared" si="30"/>
        <v>ROSL CLAIMED</v>
      </c>
      <c r="K357" s="6" t="str">
        <f>IF(J357="","",IF(J357="ROSL CLAIMED","ROSL CLAIMED","ROSL NOT CLAIMED"))</f>
        <v>ROSL CLAIMED</v>
      </c>
      <c r="L357" s="8" t="str">
        <f t="shared" si="31"/>
        <v>NULL</v>
      </c>
      <c r="M357" s="6">
        <f t="shared" si="32"/>
        <v>1</v>
      </c>
      <c r="N357" s="9">
        <f t="shared" ca="1" si="33"/>
        <v>2891</v>
      </c>
      <c r="O357" s="6" t="str">
        <f t="shared" si="34"/>
        <v>GST Paid</v>
      </c>
      <c r="P357" t="str">
        <f t="shared" si="36"/>
        <v xml:space="preserve">TUGLAKABAD ICD (INTKD6) - Current Que LEO Date EP Copy Print Status DBK Scroll No Scroll Date EGM Integration Status
HIST  27 DEC 2017 00:12  Y  N.A.  N.A.  Y </v>
      </c>
    </row>
    <row r="358" spans="1:16">
      <c r="A358" t="s">
        <v>16</v>
      </c>
      <c r="B358">
        <v>1729499</v>
      </c>
      <c r="C358" t="s">
        <v>1623</v>
      </c>
      <c r="D358" t="s">
        <v>1631</v>
      </c>
      <c r="E358" t="s">
        <v>1632</v>
      </c>
      <c r="F358" t="s">
        <v>1633</v>
      </c>
      <c r="G358" t="s">
        <v>21</v>
      </c>
      <c r="H358" t="s">
        <v>1634</v>
      </c>
      <c r="I358" t="s">
        <v>1635</v>
      </c>
      <c r="J358" s="6" t="str">
        <f t="shared" si="30"/>
        <v>ROSL NOT CLAIMED</v>
      </c>
      <c r="K358" s="6" t="str">
        <f>IF(J358="","",IF(J358="ROSL CLAIMED","ROSL CLAIMED","ROSL NOT CLAIMED"))</f>
        <v>ROSL NOT CLAIMED</v>
      </c>
      <c r="L358" s="8" t="str">
        <f t="shared" si="31"/>
        <v>NULL</v>
      </c>
      <c r="M358" s="6">
        <f t="shared" si="32"/>
        <v>0</v>
      </c>
      <c r="N358" s="9">
        <f t="shared" ca="1" si="33"/>
        <v>2891</v>
      </c>
      <c r="O358" s="6" t="str">
        <f t="shared" si="34"/>
        <v>GST Paid</v>
      </c>
      <c r="P358" t="str">
        <f t="shared" si="36"/>
        <v xml:space="preserve">TUGLAKABAD ICD (INTKD6) - Current Que LEO Date EP Copy Print Status DBK Scroll No Scroll Date EGM Integration Status
HIST  28 DEC 2017 00:12  Y  24432/2018  25 MAR 2018 00:03  Y </v>
      </c>
    </row>
    <row r="359" spans="1:16">
      <c r="A359" t="s">
        <v>16</v>
      </c>
      <c r="B359">
        <v>1752198</v>
      </c>
      <c r="C359" t="s">
        <v>1636</v>
      </c>
      <c r="D359" t="s">
        <v>1637</v>
      </c>
      <c r="E359" t="s">
        <v>1605</v>
      </c>
      <c r="F359" t="s">
        <v>1638</v>
      </c>
      <c r="G359" t="s">
        <v>21</v>
      </c>
      <c r="H359" t="s">
        <v>1639</v>
      </c>
      <c r="I359" t="s">
        <v>1640</v>
      </c>
      <c r="J359" s="6" t="str">
        <f t="shared" si="30"/>
        <v>ROSL NOT CLAIMED</v>
      </c>
      <c r="K359" s="6" t="str">
        <f>IF(J359="","",IF(J359="ROSL CLAIMED","ROSL CLAIMED","ROSL NOT CLAIMED"))</f>
        <v>ROSL NOT CLAIMED</v>
      </c>
      <c r="L359" s="8" t="str">
        <f t="shared" si="31"/>
        <v>06519  AAEFP274</v>
      </c>
      <c r="M359" s="6">
        <f t="shared" si="32"/>
        <v>0</v>
      </c>
      <c r="N359" s="9">
        <f t="shared" ca="1" si="33"/>
        <v>2890</v>
      </c>
      <c r="O359" s="6" t="str">
        <f t="shared" si="34"/>
        <v>GST Paid</v>
      </c>
      <c r="P359" t="str">
        <f t="shared" si="36"/>
        <v xml:space="preserve">TUGLAKABAD ICD (INTKD6) - Current Que LEO Date EP Copy Print Status DBK Scroll No Scroll Date EGM Integration Status
HIST  27 DEC 2017 00:12  Y  23328/2018  05 JAN 2018 00:01  Y </v>
      </c>
    </row>
    <row r="360" spans="1:16">
      <c r="A360" t="s">
        <v>16</v>
      </c>
      <c r="B360">
        <v>1773410</v>
      </c>
      <c r="C360" t="s">
        <v>1641</v>
      </c>
      <c r="D360" t="s">
        <v>1642</v>
      </c>
      <c r="E360" t="s">
        <v>1643</v>
      </c>
      <c r="F360" t="s">
        <v>1644</v>
      </c>
      <c r="G360" t="s">
        <v>39</v>
      </c>
      <c r="H360" t="s">
        <v>1645</v>
      </c>
      <c r="I360" t="s">
        <v>1646</v>
      </c>
      <c r="J360" s="6" t="str">
        <f t="shared" si="30"/>
        <v>ROSL CLAIMED</v>
      </c>
      <c r="K360" s="6" t="str">
        <f>IF(J360="","",IF(J360="ROSL CLAIMED","ROSL CLAIMED","ROSL NOT CLAIMED"))</f>
        <v>ROSL CLAIMED</v>
      </c>
      <c r="L360" s="8" t="str">
        <f t="shared" si="31"/>
        <v>NULL</v>
      </c>
      <c r="M360" s="6">
        <f t="shared" si="32"/>
        <v>1</v>
      </c>
      <c r="N360" s="9">
        <f t="shared" ca="1" si="33"/>
        <v>2887</v>
      </c>
      <c r="O360" s="6" t="str">
        <f t="shared" si="34"/>
        <v>GST Paid</v>
      </c>
      <c r="P360" t="str">
        <f t="shared" si="36"/>
        <v xml:space="preserve">TUGLAKABAD ICD (INTKD6) - Current Que LEO Date EP Copy Print Status DBK Scroll No Scroll Date EGM Integration Status
HIST  28 DEC 2017 00:12  Y  N.A.  N.A.  Y </v>
      </c>
    </row>
    <row r="361" spans="1:16">
      <c r="A361" t="s">
        <v>16</v>
      </c>
      <c r="B361">
        <v>1773615</v>
      </c>
      <c r="C361" t="s">
        <v>1641</v>
      </c>
      <c r="D361" t="s">
        <v>1647</v>
      </c>
      <c r="E361" t="s">
        <v>1605</v>
      </c>
      <c r="F361" t="s">
        <v>1648</v>
      </c>
      <c r="G361" t="s">
        <v>21</v>
      </c>
      <c r="H361" t="s">
        <v>1649</v>
      </c>
      <c r="I361" t="s">
        <v>1573</v>
      </c>
      <c r="J361" s="6" t="str">
        <f t="shared" si="30"/>
        <v>ROSL NOT CLAIMED</v>
      </c>
      <c r="K361" s="6" t="str">
        <f>IF(J361="","",IF(J361="ROSL CLAIMED","ROSL CLAIMED","ROSL NOT CLAIMED"))</f>
        <v>ROSL NOT CLAIMED</v>
      </c>
      <c r="L361" s="8" t="str">
        <f t="shared" si="31"/>
        <v>068241  AADFT27</v>
      </c>
      <c r="M361" s="6">
        <f t="shared" si="32"/>
        <v>0</v>
      </c>
      <c r="N361" s="9">
        <f t="shared" ca="1" si="33"/>
        <v>2887</v>
      </c>
      <c r="O361" s="6" t="str">
        <f t="shared" si="34"/>
        <v>GST Paid</v>
      </c>
      <c r="P361" t="str">
        <f t="shared" si="36"/>
        <v xml:space="preserve">TUGLAKABAD ICD (INTKD6) - Current Que LEO Date EP Copy Print Status DBK Scroll No Scroll Date EGM Integration Status
HIST  27 DEC 2017 00:12  Y  23328/2018  05 JAN 2018 00:01  Y </v>
      </c>
    </row>
    <row r="362" spans="1:16">
      <c r="A362" t="s">
        <v>16</v>
      </c>
      <c r="B362">
        <v>1779449</v>
      </c>
      <c r="C362" t="s">
        <v>1641</v>
      </c>
      <c r="D362" t="s">
        <v>1650</v>
      </c>
      <c r="E362" t="s">
        <v>1651</v>
      </c>
      <c r="F362" t="s">
        <v>1652</v>
      </c>
      <c r="G362" t="s">
        <v>21</v>
      </c>
      <c r="H362" t="s">
        <v>1653</v>
      </c>
      <c r="I362" t="s">
        <v>1654</v>
      </c>
      <c r="J362" s="6" t="str">
        <f t="shared" si="30"/>
        <v>ROSL NOT CLAIMED</v>
      </c>
      <c r="K362" s="6" t="str">
        <f>IF(J362="","",IF(J362="ROSL CLAIMED","ROSL CLAIMED","ROSL NOT CLAIMED"))</f>
        <v>ROSL NOT CLAIMED</v>
      </c>
      <c r="L362" s="8" t="str">
        <f t="shared" si="31"/>
        <v>NULL</v>
      </c>
      <c r="M362" s="6">
        <f t="shared" si="32"/>
        <v>0</v>
      </c>
      <c r="N362" s="9">
        <f t="shared" ca="1" si="33"/>
        <v>2887</v>
      </c>
      <c r="O362" s="6" t="str">
        <f t="shared" si="34"/>
        <v>GST Paid</v>
      </c>
      <c r="P362" t="str">
        <f t="shared" si="36"/>
        <v xml:space="preserve">TUGLAKABAD ICD (INTKD6) - Current Que LEO Date EP Copy Print Status DBK Scroll No Scroll Date EGM Integration Status
HIST  30 DEC 2017 00:12  Y  23414/2018  12 JAN 2018 00:01  Y </v>
      </c>
    </row>
    <row r="363" spans="1:16">
      <c r="A363" t="s">
        <v>16</v>
      </c>
      <c r="B363">
        <v>1780079</v>
      </c>
      <c r="C363" t="s">
        <v>1641</v>
      </c>
      <c r="D363" t="s">
        <v>1655</v>
      </c>
      <c r="E363" t="s">
        <v>1605</v>
      </c>
      <c r="F363" t="s">
        <v>1625</v>
      </c>
      <c r="G363" t="s">
        <v>21</v>
      </c>
      <c r="H363" t="s">
        <v>1656</v>
      </c>
      <c r="I363" t="s">
        <v>1627</v>
      </c>
      <c r="J363" s="6" t="str">
        <f t="shared" si="30"/>
        <v>ROSL NOT CLAIMED</v>
      </c>
      <c r="K363" s="6" t="str">
        <f>IF(J363="","",IF(J363="ROSL CLAIMED","ROSL CLAIMED","ROSL NOT CLAIMED"))</f>
        <v>ROSL NOT CLAIMED</v>
      </c>
      <c r="L363" s="8" t="str">
        <f t="shared" si="31"/>
        <v>NULL</v>
      </c>
      <c r="M363" s="6">
        <f t="shared" si="32"/>
        <v>0</v>
      </c>
      <c r="N363" s="9">
        <f t="shared" ca="1" si="33"/>
        <v>2887</v>
      </c>
      <c r="O363" s="6" t="str">
        <f t="shared" si="34"/>
        <v>GST Paid</v>
      </c>
      <c r="P363" t="str">
        <f t="shared" si="36"/>
        <v xml:space="preserve">TUGLAKABAD ICD (INTKD6) - Current Que LEO Date EP Copy Print Status DBK Scroll No Scroll Date EGM Integration Status
HIST  27 DEC 2017 00:12  Y  23328/2018  05 JAN 2018 00:01  Y </v>
      </c>
    </row>
    <row r="364" spans="1:16">
      <c r="A364" t="s">
        <v>16</v>
      </c>
      <c r="B364">
        <v>1787183</v>
      </c>
      <c r="C364" t="s">
        <v>1641</v>
      </c>
      <c r="D364" t="s">
        <v>1657</v>
      </c>
      <c r="E364" t="s">
        <v>1658</v>
      </c>
      <c r="F364" t="s">
        <v>1659</v>
      </c>
      <c r="G364" t="s">
        <v>21</v>
      </c>
      <c r="H364" t="s">
        <v>1660</v>
      </c>
      <c r="I364" t="s">
        <v>1569</v>
      </c>
      <c r="J364" s="6" t="str">
        <f t="shared" si="30"/>
        <v>ROSL NOT CLAIMED</v>
      </c>
      <c r="K364" s="6" t="str">
        <f>IF(J364="","",IF(J364="ROSL CLAIMED","ROSL CLAIMED","ROSL NOT CLAIMED"))</f>
        <v>ROSL NOT CLAIMED</v>
      </c>
      <c r="L364" s="8" t="str">
        <f t="shared" si="31"/>
        <v>NULL</v>
      </c>
      <c r="M364" s="6">
        <f t="shared" si="32"/>
        <v>0</v>
      </c>
      <c r="N364" s="9">
        <f t="shared" ca="1" si="33"/>
        <v>2887</v>
      </c>
      <c r="O364" s="6" t="str">
        <f t="shared" si="34"/>
        <v>GST Paid</v>
      </c>
      <c r="P364" t="str">
        <f t="shared" si="36"/>
        <v xml:space="preserve">TUGLAKABAD ICD (INTKD6) - Current Que LEO Date EP Copy Print Status DBK Scroll No Scroll Date EGM Integration Status
HIST  28 DEC 2017 00:12  Y  23414/2018  12 JAN 2018 00:01  Y </v>
      </c>
    </row>
    <row r="365" spans="1:16">
      <c r="A365" t="s">
        <v>16</v>
      </c>
      <c r="B365">
        <v>1789517</v>
      </c>
      <c r="C365" t="s">
        <v>1641</v>
      </c>
      <c r="D365" t="s">
        <v>1661</v>
      </c>
      <c r="E365" t="s">
        <v>1662</v>
      </c>
      <c r="F365" t="s">
        <v>1663</v>
      </c>
      <c r="G365" t="s">
        <v>21</v>
      </c>
      <c r="H365" t="s">
        <v>1664</v>
      </c>
      <c r="I365" t="s">
        <v>34</v>
      </c>
      <c r="J365" s="6" t="str">
        <f t="shared" si="30"/>
        <v>ROSL NOT CLAIMED</v>
      </c>
      <c r="K365" s="6" t="str">
        <f>IF(J365="","",IF(J365="ROSL CLAIMED","ROSL CLAIMED","ROSL NOT CLAIMED"))</f>
        <v>ROSL NOT CLAIMED</v>
      </c>
      <c r="L365" s="8" t="str">
        <f t="shared" si="31"/>
        <v>NULL</v>
      </c>
      <c r="M365" s="6">
        <f t="shared" si="32"/>
        <v>0</v>
      </c>
      <c r="N365" s="9">
        <f t="shared" ca="1" si="33"/>
        <v>2887</v>
      </c>
      <c r="O365" s="6" t="str">
        <f t="shared" si="34"/>
        <v>GST Paid</v>
      </c>
      <c r="P365" t="str">
        <f t="shared" si="36"/>
        <v xml:space="preserve">TUGLAKABAD ICD (INTKD6) - Current Que LEO Date EP Copy Print Status DBK Scroll No Scroll Date EGM Integration Status
HIST  29 DEC 2017 00:12  Y  24432/2018  25 MAR 2018 00:03  Y </v>
      </c>
    </row>
    <row r="366" spans="1:16">
      <c r="A366" t="s">
        <v>16</v>
      </c>
      <c r="B366">
        <v>1808535</v>
      </c>
      <c r="C366" t="s">
        <v>1665</v>
      </c>
      <c r="D366" t="s">
        <v>1666</v>
      </c>
      <c r="E366" t="s">
        <v>1667</v>
      </c>
      <c r="F366" t="s">
        <v>1668</v>
      </c>
      <c r="G366" t="s">
        <v>39</v>
      </c>
      <c r="H366" t="s">
        <v>1669</v>
      </c>
      <c r="I366" t="s">
        <v>1646</v>
      </c>
      <c r="J366" s="6" t="str">
        <f t="shared" si="30"/>
        <v>ROSL CLAIMED</v>
      </c>
      <c r="K366" s="6" t="str">
        <f>IF(J366="","",IF(J366="ROSL CLAIMED","ROSL CLAIMED","ROSL NOT CLAIMED"))</f>
        <v>ROSL CLAIMED</v>
      </c>
      <c r="L366" s="8" t="str">
        <f t="shared" si="31"/>
        <v>NULL</v>
      </c>
      <c r="M366" s="6">
        <f t="shared" si="32"/>
        <v>1</v>
      </c>
      <c r="N366" s="9">
        <f t="shared" ca="1" si="33"/>
        <v>2886</v>
      </c>
      <c r="O366" s="6" t="str">
        <f t="shared" si="34"/>
        <v>GST Paid</v>
      </c>
      <c r="P366" t="str">
        <f t="shared" si="36"/>
        <v xml:space="preserve">TUGLAKABAD ICD (INTKD6) - Current Que LEO Date EP Copy Print Status DBK Scroll No Scroll Date EGM Integration Status
HIST  29 DEC 2017 00:12  Y  N.A.  N.A.  Y </v>
      </c>
    </row>
    <row r="367" spans="1:16">
      <c r="A367" t="s">
        <v>16</v>
      </c>
      <c r="B367">
        <v>1809398</v>
      </c>
      <c r="C367" t="s">
        <v>1665</v>
      </c>
      <c r="D367" t="s">
        <v>1670</v>
      </c>
      <c r="E367" t="s">
        <v>1643</v>
      </c>
      <c r="F367" t="s">
        <v>1671</v>
      </c>
      <c r="G367" t="s">
        <v>39</v>
      </c>
      <c r="H367" t="s">
        <v>1672</v>
      </c>
      <c r="I367" t="s">
        <v>1673</v>
      </c>
      <c r="J367" s="6" t="str">
        <f t="shared" si="30"/>
        <v>ROSL CLAIMED</v>
      </c>
      <c r="K367" s="6" t="str">
        <f>IF(J367="","",IF(J367="ROSL CLAIMED","ROSL CLAIMED","ROSL NOT CLAIMED"))</f>
        <v>ROSL CLAIMED</v>
      </c>
      <c r="L367" s="8" t="str">
        <f t="shared" si="31"/>
        <v>NULL</v>
      </c>
      <c r="M367" s="6">
        <f t="shared" si="32"/>
        <v>1</v>
      </c>
      <c r="N367" s="9">
        <f t="shared" ca="1" si="33"/>
        <v>2886</v>
      </c>
      <c r="O367" s="6" t="str">
        <f t="shared" si="34"/>
        <v>GST Paid</v>
      </c>
      <c r="P367" t="str">
        <f t="shared" si="36"/>
        <v xml:space="preserve">TUGLAKABAD ICD (INTKD6) - Current Que LEO Date EP Copy Print Status DBK Scroll No Scroll Date EGM Integration Status
HIST  28 DEC 2017 00:12  Y  N.A.  N.A.  Y </v>
      </c>
    </row>
    <row r="368" spans="1:16">
      <c r="A368" t="s">
        <v>16</v>
      </c>
      <c r="B368">
        <v>1811286</v>
      </c>
      <c r="C368" t="s">
        <v>1665</v>
      </c>
      <c r="D368" t="s">
        <v>1674</v>
      </c>
      <c r="E368" t="s">
        <v>1675</v>
      </c>
      <c r="F368" t="s">
        <v>1676</v>
      </c>
      <c r="G368" t="s">
        <v>21</v>
      </c>
      <c r="H368" t="s">
        <v>1677</v>
      </c>
      <c r="I368" t="s">
        <v>1678</v>
      </c>
      <c r="J368" s="6" t="str">
        <f t="shared" si="30"/>
        <v>ROSL NOT CLAIMED</v>
      </c>
      <c r="K368" s="6" t="str">
        <f>IF(J368="","",IF(J368="ROSL CLAIMED","ROSL CLAIMED","ROSL NOT CLAIMED"))</f>
        <v>ROSL NOT CLAIMED</v>
      </c>
      <c r="L368" s="8" t="str">
        <f t="shared" si="31"/>
        <v>NULL</v>
      </c>
      <c r="M368" s="6">
        <f t="shared" si="32"/>
        <v>0</v>
      </c>
      <c r="N368" s="9">
        <f t="shared" ca="1" si="33"/>
        <v>2886</v>
      </c>
      <c r="O368" s="6" t="str">
        <f t="shared" si="34"/>
        <v>GST Paid</v>
      </c>
      <c r="P368" t="str">
        <f t="shared" si="36"/>
        <v xml:space="preserve">TUGLAKABAD ICD (INTKD6) - Current Que LEO Date EP Copy Print Status DBK Scroll No Scroll Date EGM Integration Status
HIST  03 JAN 2018 00:01  Y  23481/2018  18 JAN 2018 00:01  Y </v>
      </c>
    </row>
    <row r="369" spans="1:16">
      <c r="A369" t="s">
        <v>16</v>
      </c>
      <c r="B369">
        <v>1817413</v>
      </c>
      <c r="C369" t="s">
        <v>1665</v>
      </c>
      <c r="D369" t="s">
        <v>1679</v>
      </c>
      <c r="E369" t="s">
        <v>1651</v>
      </c>
      <c r="F369" t="s">
        <v>1680</v>
      </c>
      <c r="G369" t="s">
        <v>21</v>
      </c>
      <c r="H369" t="s">
        <v>1681</v>
      </c>
      <c r="I369" t="s">
        <v>1654</v>
      </c>
      <c r="J369" s="6" t="str">
        <f t="shared" si="30"/>
        <v>ROSL NOT CLAIMED</v>
      </c>
      <c r="K369" s="6" t="str">
        <f>IF(J369="","",IF(J369="ROSL CLAIMED","ROSL CLAIMED","ROSL NOT CLAIMED"))</f>
        <v>ROSL NOT CLAIMED</v>
      </c>
      <c r="L369" s="8" t="str">
        <f t="shared" si="31"/>
        <v>NULL</v>
      </c>
      <c r="M369" s="6">
        <f t="shared" si="32"/>
        <v>0</v>
      </c>
      <c r="N369" s="9">
        <f t="shared" ca="1" si="33"/>
        <v>2886</v>
      </c>
      <c r="O369" s="6" t="str">
        <f t="shared" si="34"/>
        <v>GST Paid</v>
      </c>
      <c r="P369" t="str">
        <f t="shared" si="36"/>
        <v xml:space="preserve">TUGLAKABAD ICD (INTKD6) - Current Que LEO Date EP Copy Print Status DBK Scroll No Scroll Date EGM Integration Status
HIST  30 DEC 2017 00:12  Y  23414/2018  12 JAN 2018 00:01  Y </v>
      </c>
    </row>
    <row r="370" spans="1:16">
      <c r="A370" t="s">
        <v>16</v>
      </c>
      <c r="B370">
        <v>1817472</v>
      </c>
      <c r="C370" t="s">
        <v>1665</v>
      </c>
      <c r="D370" t="s">
        <v>1682</v>
      </c>
      <c r="E370" t="s">
        <v>1651</v>
      </c>
      <c r="F370" t="s">
        <v>1683</v>
      </c>
      <c r="G370" t="s">
        <v>21</v>
      </c>
      <c r="H370" t="s">
        <v>1684</v>
      </c>
      <c r="I370" t="s">
        <v>1654</v>
      </c>
      <c r="J370" s="6" t="str">
        <f t="shared" si="30"/>
        <v>ROSL NOT CLAIMED</v>
      </c>
      <c r="K370" s="6" t="str">
        <f>IF(J370="","",IF(J370="ROSL CLAIMED","ROSL CLAIMED","ROSL NOT CLAIMED"))</f>
        <v>ROSL NOT CLAIMED</v>
      </c>
      <c r="L370" s="8" t="str">
        <f t="shared" si="31"/>
        <v>NULL</v>
      </c>
      <c r="M370" s="6">
        <f t="shared" si="32"/>
        <v>0</v>
      </c>
      <c r="N370" s="9">
        <f t="shared" ca="1" si="33"/>
        <v>2886</v>
      </c>
      <c r="O370" s="6" t="str">
        <f t="shared" si="34"/>
        <v>GST Paid</v>
      </c>
      <c r="P370" t="str">
        <f t="shared" si="36"/>
        <v xml:space="preserve">TUGLAKABAD ICD (INTKD6) - Current Que LEO Date EP Copy Print Status DBK Scroll No Scroll Date EGM Integration Status
HIST  30 DEC 2017 00:12  Y  23414/2018  12 JAN 2018 00:01  Y </v>
      </c>
    </row>
    <row r="371" spans="1:16">
      <c r="A371" t="s">
        <v>16</v>
      </c>
      <c r="B371">
        <v>1838515</v>
      </c>
      <c r="C371" t="s">
        <v>1685</v>
      </c>
      <c r="D371" t="s">
        <v>1686</v>
      </c>
      <c r="E371" t="s">
        <v>1687</v>
      </c>
      <c r="F371" t="s">
        <v>1688</v>
      </c>
      <c r="G371" t="s">
        <v>39</v>
      </c>
      <c r="H371" t="s">
        <v>1689</v>
      </c>
      <c r="I371" t="s">
        <v>1690</v>
      </c>
      <c r="J371" s="6" t="str">
        <f t="shared" si="30"/>
        <v>ROSL CLAIMED</v>
      </c>
      <c r="K371" s="6" t="str">
        <f>IF(J371="","",IF(J371="ROSL CLAIMED","ROSL CLAIMED","ROSL NOT CLAIMED"))</f>
        <v>ROSL CLAIMED</v>
      </c>
      <c r="L371" s="8" t="str">
        <f t="shared" si="31"/>
        <v>NULL</v>
      </c>
      <c r="M371" s="6">
        <f t="shared" si="32"/>
        <v>1</v>
      </c>
      <c r="N371" s="9">
        <f t="shared" ca="1" si="33"/>
        <v>2885</v>
      </c>
      <c r="O371" s="6" t="str">
        <f t="shared" si="34"/>
        <v>GST Paid</v>
      </c>
      <c r="P371" t="str">
        <f t="shared" si="36"/>
        <v xml:space="preserve">TUGLAKABAD ICD (INTKD6) - Current Que LEO Date EP Copy Print Status DBK Scroll No Scroll Date EGM Integration Status
HIST  01 JAN 2018 00:01  Y  N.A.  N.A.  Y </v>
      </c>
    </row>
    <row r="372" spans="1:16">
      <c r="A372" t="s">
        <v>16</v>
      </c>
      <c r="B372">
        <v>1852350</v>
      </c>
      <c r="C372" t="s">
        <v>1685</v>
      </c>
      <c r="D372" t="s">
        <v>1691</v>
      </c>
      <c r="E372" t="s">
        <v>1667</v>
      </c>
      <c r="F372" t="s">
        <v>1692</v>
      </c>
      <c r="G372" t="s">
        <v>39</v>
      </c>
      <c r="H372" t="s">
        <v>1693</v>
      </c>
      <c r="I372" t="s">
        <v>1694</v>
      </c>
      <c r="J372" s="6" t="str">
        <f t="shared" si="30"/>
        <v>ROSL CLAIMED</v>
      </c>
      <c r="K372" s="6" t="str">
        <f>IF(J372="","",IF(J372="ROSL CLAIMED","ROSL CLAIMED","ROSL NOT CLAIMED"))</f>
        <v>ROSL CLAIMED</v>
      </c>
      <c r="L372" s="8" t="str">
        <f t="shared" si="31"/>
        <v>NULL</v>
      </c>
      <c r="M372" s="6">
        <f t="shared" si="32"/>
        <v>1</v>
      </c>
      <c r="N372" s="9">
        <f t="shared" ca="1" si="33"/>
        <v>2885</v>
      </c>
      <c r="O372" s="6" t="str">
        <f t="shared" si="34"/>
        <v>GST Paid</v>
      </c>
      <c r="P372" t="str">
        <f t="shared" si="36"/>
        <v xml:space="preserve">TUGLAKABAD ICD (INTKD6) - Current Que LEO Date EP Copy Print Status DBK Scroll No Scroll Date EGM Integration Status
HIST  29 DEC 2017 00:12  Y  N.A.  N.A.  Y </v>
      </c>
    </row>
    <row r="373" spans="1:16">
      <c r="A373" t="s">
        <v>16</v>
      </c>
      <c r="B373">
        <v>1865148</v>
      </c>
      <c r="C373" t="s">
        <v>1695</v>
      </c>
      <c r="D373" t="s">
        <v>1610</v>
      </c>
      <c r="E373" t="s">
        <v>1687</v>
      </c>
      <c r="F373" t="s">
        <v>1696</v>
      </c>
      <c r="G373" t="s">
        <v>39</v>
      </c>
      <c r="H373" t="s">
        <v>1697</v>
      </c>
      <c r="I373" t="s">
        <v>1698</v>
      </c>
      <c r="J373" s="6" t="str">
        <f t="shared" si="30"/>
        <v>ROSL CLAIMED</v>
      </c>
      <c r="K373" s="6" t="str">
        <f>IF(J373="","",IF(J373="ROSL CLAIMED","ROSL CLAIMED","ROSL NOT CLAIMED"))</f>
        <v>ROSL CLAIMED</v>
      </c>
      <c r="L373" s="8" t="str">
        <f t="shared" si="31"/>
        <v>NULL</v>
      </c>
      <c r="M373" s="6">
        <f t="shared" si="32"/>
        <v>1</v>
      </c>
      <c r="N373" s="9">
        <f t="shared" ca="1" si="33"/>
        <v>2884</v>
      </c>
      <c r="O373" s="6" t="str">
        <f t="shared" si="34"/>
        <v>GST Paid</v>
      </c>
      <c r="P373" t="str">
        <f t="shared" si="36"/>
        <v xml:space="preserve">TUGLAKABAD ICD (INTKD6) - Current Que LEO Date EP Copy Print Status DBK Scroll No Scroll Date EGM Integration Status
HIST  01 JAN 2018 00:01  Y  N.A.  N.A.  Y </v>
      </c>
    </row>
    <row r="374" spans="1:16">
      <c r="A374" t="s">
        <v>16</v>
      </c>
      <c r="B374">
        <v>1865329</v>
      </c>
      <c r="C374" t="s">
        <v>1695</v>
      </c>
      <c r="D374" t="s">
        <v>1699</v>
      </c>
      <c r="E374" t="s">
        <v>1700</v>
      </c>
      <c r="F374" t="s">
        <v>1701</v>
      </c>
      <c r="G374" t="s">
        <v>39</v>
      </c>
      <c r="H374" t="s">
        <v>1702</v>
      </c>
      <c r="I374" t="s">
        <v>1703</v>
      </c>
      <c r="J374" s="6" t="str">
        <f t="shared" si="30"/>
        <v>ROSL CLAIMED</v>
      </c>
      <c r="K374" s="6" t="str">
        <f>IF(J374="","",IF(J374="ROSL CLAIMED","ROSL CLAIMED","ROSL NOT CLAIMED"))</f>
        <v>ROSL CLAIMED</v>
      </c>
      <c r="L374" s="8" t="str">
        <f t="shared" si="31"/>
        <v>NULL</v>
      </c>
      <c r="M374" s="6">
        <f t="shared" si="32"/>
        <v>1</v>
      </c>
      <c r="N374" s="9">
        <f t="shared" ca="1" si="33"/>
        <v>2884</v>
      </c>
      <c r="O374" s="6" t="str">
        <f t="shared" si="34"/>
        <v>GST Paid</v>
      </c>
      <c r="P374" t="str">
        <f t="shared" si="36"/>
        <v xml:space="preserve">TUGLAKABAD ICD (INTKD6) - Current Que LEO Date EP Copy Print Status DBK Scroll No Scroll Date EGM Integration Status
HIST  02 JAN 2018 00:01  Y  N.A.  N.A.  Y </v>
      </c>
    </row>
    <row r="375" spans="1:16">
      <c r="A375" t="s">
        <v>16</v>
      </c>
      <c r="B375">
        <v>1866627</v>
      </c>
      <c r="C375" t="s">
        <v>1695</v>
      </c>
      <c r="D375" t="s">
        <v>1704</v>
      </c>
      <c r="E375" t="s">
        <v>1705</v>
      </c>
      <c r="F375" t="s">
        <v>1706</v>
      </c>
      <c r="G375" t="s">
        <v>21</v>
      </c>
      <c r="H375" t="s">
        <v>1707</v>
      </c>
      <c r="I375" t="s">
        <v>1708</v>
      </c>
      <c r="J375" s="6" t="str">
        <f t="shared" si="30"/>
        <v>ROSL NOT CLAIMED</v>
      </c>
      <c r="K375" s="6" t="str">
        <f>IF(J375="","",IF(J375="ROSL CLAIMED","ROSL CLAIMED","ROSL NOT CLAIMED"))</f>
        <v>ROSL NOT CLAIMED</v>
      </c>
      <c r="L375" s="8" t="str">
        <f t="shared" si="31"/>
        <v>NULL</v>
      </c>
      <c r="M375" s="6">
        <f t="shared" si="32"/>
        <v>0</v>
      </c>
      <c r="N375" s="9">
        <f t="shared" ca="1" si="33"/>
        <v>2884</v>
      </c>
      <c r="O375" s="6" t="str">
        <f t="shared" si="34"/>
        <v>GST Paid</v>
      </c>
      <c r="P375" t="str">
        <f t="shared" si="36"/>
        <v xml:space="preserve">TUGLAKABAD ICD (INTKD6) - Current Que LEO Date EP Copy Print Status DBK Scroll No Scroll Date EGM Integration Status
HIST  30 DEC 2017 00:12  Y  24432/2018  25 MAR 2018 00:03  Y </v>
      </c>
    </row>
    <row r="376" spans="1:16">
      <c r="A376" t="s">
        <v>16</v>
      </c>
      <c r="B376">
        <v>1868552</v>
      </c>
      <c r="C376" t="s">
        <v>1695</v>
      </c>
      <c r="D376" t="s">
        <v>1610</v>
      </c>
      <c r="E376" t="s">
        <v>1687</v>
      </c>
      <c r="F376" t="s">
        <v>1709</v>
      </c>
      <c r="G376" t="s">
        <v>39</v>
      </c>
      <c r="H376" t="s">
        <v>1710</v>
      </c>
      <c r="I376" t="s">
        <v>1711</v>
      </c>
      <c r="J376" s="6" t="str">
        <f t="shared" si="30"/>
        <v>ROSL CLAIMED</v>
      </c>
      <c r="K376" s="6" t="str">
        <f>IF(J376="","",IF(J376="ROSL CLAIMED","ROSL CLAIMED","ROSL NOT CLAIMED"))</f>
        <v>ROSL CLAIMED</v>
      </c>
      <c r="L376" s="8" t="str">
        <f t="shared" si="31"/>
        <v>NULL</v>
      </c>
      <c r="M376" s="6">
        <f t="shared" si="32"/>
        <v>1</v>
      </c>
      <c r="N376" s="9">
        <f t="shared" ca="1" si="33"/>
        <v>2884</v>
      </c>
      <c r="O376" s="6" t="str">
        <f t="shared" si="34"/>
        <v>GST Paid</v>
      </c>
      <c r="P376" t="str">
        <f t="shared" si="36"/>
        <v xml:space="preserve">TUGLAKABAD ICD (INTKD6) - Current Que LEO Date EP Copy Print Status DBK Scroll No Scroll Date EGM Integration Status
HIST  01 JAN 2018 00:01  Y  N.A.  N.A.  Y </v>
      </c>
    </row>
    <row r="377" spans="1:16">
      <c r="A377" t="s">
        <v>16</v>
      </c>
      <c r="B377">
        <v>1899578</v>
      </c>
      <c r="C377" t="s">
        <v>1712</v>
      </c>
      <c r="D377" t="s">
        <v>1713</v>
      </c>
      <c r="E377" t="s">
        <v>1714</v>
      </c>
      <c r="F377" t="s">
        <v>1676</v>
      </c>
      <c r="G377" t="s">
        <v>39</v>
      </c>
      <c r="H377" t="s">
        <v>1715</v>
      </c>
      <c r="I377" t="s">
        <v>1678</v>
      </c>
      <c r="J377" s="6" t="str">
        <f t="shared" si="30"/>
        <v>ROSL CLAIMED</v>
      </c>
      <c r="K377" s="6" t="str">
        <f>IF(J377="","",IF(J377="ROSL CLAIMED","ROSL CLAIMED","ROSL NOT CLAIMED"))</f>
        <v>ROSL CLAIMED</v>
      </c>
      <c r="L377" s="8" t="str">
        <f t="shared" si="31"/>
        <v>NULL</v>
      </c>
      <c r="M377" s="6">
        <f t="shared" si="32"/>
        <v>1</v>
      </c>
      <c r="N377" s="9">
        <f t="shared" ca="1" si="33"/>
        <v>2883</v>
      </c>
      <c r="O377" s="6" t="str">
        <f t="shared" si="34"/>
        <v>GST Paid</v>
      </c>
      <c r="P377" t="str">
        <f t="shared" si="36"/>
        <v xml:space="preserve">TUGLAKABAD ICD (INTKD6) - Current Que LEO Date EP Copy Print Status DBK Scroll No Scroll Date EGM Integration Status
HIST  05 JAN 2018 00:01  Y  N.A.  N.A.  Y </v>
      </c>
    </row>
    <row r="378" spans="1:16">
      <c r="A378" t="s">
        <v>16</v>
      </c>
      <c r="B378">
        <v>1900474</v>
      </c>
      <c r="C378" t="s">
        <v>1712</v>
      </c>
      <c r="D378" t="s">
        <v>1716</v>
      </c>
      <c r="E378" t="s">
        <v>1717</v>
      </c>
      <c r="F378" t="s">
        <v>1718</v>
      </c>
      <c r="G378" t="s">
        <v>21</v>
      </c>
      <c r="H378" t="s">
        <v>1719</v>
      </c>
      <c r="I378" t="s">
        <v>1720</v>
      </c>
      <c r="J378" s="6" t="str">
        <f t="shared" si="30"/>
        <v>ROSL NOT CLAIMED</v>
      </c>
      <c r="K378" s="6" t="str">
        <f>IF(J378="","",IF(J378="ROSL CLAIMED","ROSL CLAIMED","ROSL NOT CLAIMED"))</f>
        <v>ROSL NOT CLAIMED</v>
      </c>
      <c r="L378" s="8" t="str">
        <f t="shared" si="31"/>
        <v>NULL</v>
      </c>
      <c r="M378" s="6">
        <f t="shared" si="32"/>
        <v>0</v>
      </c>
      <c r="N378" s="9">
        <f t="shared" ca="1" si="33"/>
        <v>2883</v>
      </c>
      <c r="O378" s="6" t="str">
        <f t="shared" si="34"/>
        <v>GST Paid</v>
      </c>
      <c r="P378" t="str">
        <f t="shared" si="36"/>
        <v xml:space="preserve">TUGLAKABAD ICD (INTKD6) - Current Que LEO Date EP Copy Print Status DBK Scroll No Scroll Date EGM Integration Status
HIST  04 JAN 2018 00:01  Y  23414/2018  12 JAN 2018 00:01  Y </v>
      </c>
    </row>
    <row r="379" spans="1:16">
      <c r="A379" t="s">
        <v>16</v>
      </c>
      <c r="B379">
        <v>1904114</v>
      </c>
      <c r="C379" t="s">
        <v>1712</v>
      </c>
      <c r="D379" t="s">
        <v>1721</v>
      </c>
      <c r="E379" t="s">
        <v>1722</v>
      </c>
      <c r="F379" t="s">
        <v>1723</v>
      </c>
      <c r="G379" t="s">
        <v>21</v>
      </c>
      <c r="H379" t="s">
        <v>1724</v>
      </c>
      <c r="I379" t="s">
        <v>1725</v>
      </c>
      <c r="J379" s="6" t="str">
        <f t="shared" si="30"/>
        <v>ROSL NOT CLAIMED</v>
      </c>
      <c r="K379" s="6" t="str">
        <f>IF(J379="","",IF(J379="ROSL CLAIMED","ROSL CLAIMED","ROSL NOT CLAIMED"))</f>
        <v>ROSL NOT CLAIMED</v>
      </c>
      <c r="L379" s="8" t="str">
        <f t="shared" si="31"/>
        <v>NULL</v>
      </c>
      <c r="M379" s="6">
        <f t="shared" si="32"/>
        <v>0</v>
      </c>
      <c r="N379" s="9">
        <f t="shared" ca="1" si="33"/>
        <v>2883</v>
      </c>
      <c r="O379" s="6" t="str">
        <f t="shared" si="34"/>
        <v>GST Paid</v>
      </c>
      <c r="P379" t="str">
        <f t="shared" si="36"/>
        <v xml:space="preserve">TUGLAKABAD ICD (INTKD6) - Current Que LEO Date EP Copy Print Status DBK Scroll No Scroll Date EGM Integration Status
HIST  05 JAN 2018 00:01  Y  23414/2018  12 JAN 2018 00:01  Y </v>
      </c>
    </row>
    <row r="380" spans="1:16">
      <c r="A380" t="s">
        <v>16</v>
      </c>
      <c r="B380">
        <v>1905542</v>
      </c>
      <c r="C380" t="s">
        <v>1712</v>
      </c>
      <c r="D380" t="s">
        <v>1726</v>
      </c>
      <c r="E380" t="s">
        <v>1727</v>
      </c>
      <c r="F380" t="s">
        <v>1728</v>
      </c>
      <c r="G380" t="s">
        <v>21</v>
      </c>
      <c r="H380" t="s">
        <v>1729</v>
      </c>
      <c r="I380" t="s">
        <v>1725</v>
      </c>
      <c r="J380" s="6" t="str">
        <f t="shared" si="30"/>
        <v>ROSL NOT CLAIMED</v>
      </c>
      <c r="K380" s="6" t="str">
        <f>IF(J380="","",IF(J380="ROSL CLAIMED","ROSL CLAIMED","ROSL NOT CLAIMED"))</f>
        <v>ROSL NOT CLAIMED</v>
      </c>
      <c r="L380" s="8" t="str">
        <f t="shared" si="31"/>
        <v>NULL</v>
      </c>
      <c r="M380" s="6">
        <f t="shared" si="32"/>
        <v>0</v>
      </c>
      <c r="N380" s="9">
        <f t="shared" ca="1" si="33"/>
        <v>2883</v>
      </c>
      <c r="O380" s="6" t="str">
        <f t="shared" si="34"/>
        <v>GST Paid</v>
      </c>
      <c r="P380" t="str">
        <f t="shared" si="36"/>
        <v xml:space="preserve">TUGLAKABAD ICD (INTKD6) - Current Que LEO Date EP Copy Print Status DBK Scroll No Scroll Date EGM Integration Status
HIST  06 JAN 2018 00:01  Y  23643/2018  31 JAN 2018 00:01  Y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CFB6-81B2-46BB-8DE8-8A09332834E1}">
  <dimension ref="E5:J260"/>
  <sheetViews>
    <sheetView topLeftCell="F1" workbookViewId="0">
      <selection activeCell="G5" sqref="G5"/>
    </sheetView>
  </sheetViews>
  <sheetFormatPr defaultRowHeight="15"/>
  <cols>
    <col min="4" max="5" width="24.28515625" bestFit="1" customWidth="1"/>
    <col min="6" max="6" width="126.85546875" bestFit="1" customWidth="1"/>
    <col min="7" max="7" width="35.85546875" bestFit="1" customWidth="1"/>
    <col min="8" max="8" width="14.140625" bestFit="1" customWidth="1"/>
    <col min="9" max="9" width="18.28515625" bestFit="1" customWidth="1"/>
    <col min="10" max="10" width="11.140625" bestFit="1" customWidth="1"/>
  </cols>
  <sheetData>
    <row r="5" spans="5:10">
      <c r="E5" s="2" t="s">
        <v>1730</v>
      </c>
      <c r="G5" s="2" t="s">
        <v>1731</v>
      </c>
    </row>
    <row r="6" spans="5:10">
      <c r="E6" s="2" t="s">
        <v>0</v>
      </c>
      <c r="F6" s="2" t="s">
        <v>8</v>
      </c>
      <c r="G6" t="s">
        <v>1732</v>
      </c>
      <c r="H6" t="s">
        <v>1733</v>
      </c>
      <c r="I6" t="s">
        <v>1734</v>
      </c>
      <c r="J6" t="s">
        <v>1735</v>
      </c>
    </row>
    <row r="7" spans="5:10">
      <c r="E7" t="s">
        <v>16</v>
      </c>
      <c r="F7" t="s">
        <v>28</v>
      </c>
      <c r="G7" s="3"/>
      <c r="H7" s="3"/>
      <c r="I7" s="3">
        <v>1</v>
      </c>
      <c r="J7" s="3">
        <v>1</v>
      </c>
    </row>
    <row r="8" spans="5:10">
      <c r="F8" t="s">
        <v>510</v>
      </c>
      <c r="G8" s="3">
        <v>1</v>
      </c>
      <c r="H8" s="3"/>
      <c r="I8" s="3">
        <v>1</v>
      </c>
      <c r="J8" s="3">
        <v>2</v>
      </c>
    </row>
    <row r="9" spans="5:10">
      <c r="F9" t="s">
        <v>51</v>
      </c>
      <c r="G9" s="3"/>
      <c r="H9" s="3"/>
      <c r="I9" s="3">
        <v>1</v>
      </c>
      <c r="J9" s="3">
        <v>1</v>
      </c>
    </row>
    <row r="10" spans="5:10">
      <c r="F10" t="s">
        <v>560</v>
      </c>
      <c r="G10" s="3"/>
      <c r="H10" s="3"/>
      <c r="I10" s="3">
        <v>1</v>
      </c>
      <c r="J10" s="3">
        <v>1</v>
      </c>
    </row>
    <row r="11" spans="5:10">
      <c r="F11" t="s">
        <v>207</v>
      </c>
      <c r="G11" s="3"/>
      <c r="H11" s="3"/>
      <c r="I11" s="3">
        <v>1</v>
      </c>
      <c r="J11" s="3">
        <v>1</v>
      </c>
    </row>
    <row r="12" spans="5:10">
      <c r="F12" t="s">
        <v>228</v>
      </c>
      <c r="G12" s="3"/>
      <c r="H12" s="3"/>
      <c r="I12" s="3">
        <v>1</v>
      </c>
      <c r="J12" s="3">
        <v>1</v>
      </c>
    </row>
    <row r="13" spans="5:10">
      <c r="F13" t="s">
        <v>211</v>
      </c>
      <c r="G13" s="3"/>
      <c r="H13" s="3"/>
      <c r="I13" s="3">
        <v>1</v>
      </c>
      <c r="J13" s="3">
        <v>1</v>
      </c>
    </row>
    <row r="14" spans="5:10">
      <c r="F14" t="s">
        <v>421</v>
      </c>
      <c r="G14" s="3"/>
      <c r="H14" s="3"/>
      <c r="I14" s="3">
        <v>1</v>
      </c>
      <c r="J14" s="3">
        <v>1</v>
      </c>
    </row>
    <row r="15" spans="5:10">
      <c r="F15" t="s">
        <v>341</v>
      </c>
      <c r="G15" s="3"/>
      <c r="H15" s="3"/>
      <c r="I15" s="3">
        <v>1</v>
      </c>
      <c r="J15" s="3">
        <v>1</v>
      </c>
    </row>
    <row r="16" spans="5:10">
      <c r="F16" t="s">
        <v>152</v>
      </c>
      <c r="G16" s="3"/>
      <c r="H16" s="3">
        <v>1</v>
      </c>
      <c r="I16" s="3"/>
      <c r="J16" s="3">
        <v>1</v>
      </c>
    </row>
    <row r="17" spans="6:10">
      <c r="F17" t="s">
        <v>323</v>
      </c>
      <c r="G17" s="3"/>
      <c r="H17" s="3"/>
      <c r="I17" s="3">
        <v>1</v>
      </c>
      <c r="J17" s="3">
        <v>1</v>
      </c>
    </row>
    <row r="18" spans="6:10">
      <c r="F18" t="s">
        <v>239</v>
      </c>
      <c r="G18" s="3"/>
      <c r="H18" s="3"/>
      <c r="I18" s="3">
        <v>1</v>
      </c>
      <c r="J18" s="3">
        <v>1</v>
      </c>
    </row>
    <row r="19" spans="6:10">
      <c r="F19" t="s">
        <v>60</v>
      </c>
      <c r="G19" s="3"/>
      <c r="H19" s="3"/>
      <c r="I19" s="3">
        <v>1</v>
      </c>
      <c r="J19" s="3">
        <v>1</v>
      </c>
    </row>
    <row r="20" spans="6:10">
      <c r="F20" t="s">
        <v>385</v>
      </c>
      <c r="G20" s="3"/>
      <c r="H20" s="3"/>
      <c r="I20" s="3">
        <v>2</v>
      </c>
      <c r="J20" s="3">
        <v>2</v>
      </c>
    </row>
    <row r="21" spans="6:10">
      <c r="F21" t="s">
        <v>283</v>
      </c>
      <c r="G21" s="3"/>
      <c r="H21" s="3"/>
      <c r="I21" s="3">
        <v>2</v>
      </c>
      <c r="J21" s="3">
        <v>2</v>
      </c>
    </row>
    <row r="22" spans="6:10">
      <c r="F22" t="s">
        <v>259</v>
      </c>
      <c r="G22" s="3"/>
      <c r="H22" s="3"/>
      <c r="I22" s="3">
        <v>1</v>
      </c>
      <c r="J22" s="3">
        <v>1</v>
      </c>
    </row>
    <row r="23" spans="6:10">
      <c r="F23" t="s">
        <v>393</v>
      </c>
      <c r="G23" s="3"/>
      <c r="H23" s="3"/>
      <c r="I23" s="3">
        <v>3</v>
      </c>
      <c r="J23" s="3">
        <v>3</v>
      </c>
    </row>
    <row r="24" spans="6:10">
      <c r="F24" t="s">
        <v>726</v>
      </c>
      <c r="G24" s="3"/>
      <c r="H24" s="3"/>
      <c r="I24" s="3">
        <v>1</v>
      </c>
      <c r="J24" s="3">
        <v>1</v>
      </c>
    </row>
    <row r="25" spans="6:10">
      <c r="F25" t="s">
        <v>833</v>
      </c>
      <c r="G25" s="3"/>
      <c r="H25" s="3"/>
      <c r="I25" s="3">
        <v>1</v>
      </c>
      <c r="J25" s="3">
        <v>1</v>
      </c>
    </row>
    <row r="26" spans="6:10">
      <c r="F26" t="s">
        <v>501</v>
      </c>
      <c r="G26" s="3"/>
      <c r="H26" s="3"/>
      <c r="I26" s="3">
        <v>1</v>
      </c>
      <c r="J26" s="3">
        <v>1</v>
      </c>
    </row>
    <row r="27" spans="6:10">
      <c r="F27" t="s">
        <v>408</v>
      </c>
      <c r="G27" s="3"/>
      <c r="H27" s="3"/>
      <c r="I27" s="3">
        <v>2</v>
      </c>
      <c r="J27" s="3">
        <v>2</v>
      </c>
    </row>
    <row r="28" spans="6:10">
      <c r="F28" t="s">
        <v>103</v>
      </c>
      <c r="G28" s="3"/>
      <c r="H28" s="3"/>
      <c r="I28" s="3">
        <v>1</v>
      </c>
      <c r="J28" s="3">
        <v>1</v>
      </c>
    </row>
    <row r="29" spans="6:10">
      <c r="F29" t="s">
        <v>577</v>
      </c>
      <c r="G29" s="3"/>
      <c r="H29" s="3">
        <v>1</v>
      </c>
      <c r="I29" s="3"/>
      <c r="J29" s="3">
        <v>1</v>
      </c>
    </row>
    <row r="30" spans="6:10">
      <c r="F30" t="s">
        <v>287</v>
      </c>
      <c r="G30" s="3"/>
      <c r="H30" s="3"/>
      <c r="I30" s="3">
        <v>1</v>
      </c>
      <c r="J30" s="3">
        <v>1</v>
      </c>
    </row>
    <row r="31" spans="6:10">
      <c r="F31" t="s">
        <v>459</v>
      </c>
      <c r="G31" s="3">
        <v>1</v>
      </c>
      <c r="H31" s="3"/>
      <c r="I31" s="3"/>
      <c r="J31" s="3">
        <v>1</v>
      </c>
    </row>
    <row r="32" spans="6:10">
      <c r="F32" t="s">
        <v>449</v>
      </c>
      <c r="G32" s="3">
        <v>1</v>
      </c>
      <c r="H32" s="3"/>
      <c r="I32" s="3"/>
      <c r="J32" s="3">
        <v>1</v>
      </c>
    </row>
    <row r="33" spans="6:10">
      <c r="F33" t="s">
        <v>529</v>
      </c>
      <c r="G33" s="3"/>
      <c r="H33" s="3">
        <v>1</v>
      </c>
      <c r="I33" s="3"/>
      <c r="J33" s="3">
        <v>1</v>
      </c>
    </row>
    <row r="34" spans="6:10">
      <c r="F34" t="s">
        <v>734</v>
      </c>
      <c r="G34" s="3"/>
      <c r="H34" s="3"/>
      <c r="I34" s="3">
        <v>1</v>
      </c>
      <c r="J34" s="3">
        <v>1</v>
      </c>
    </row>
    <row r="35" spans="6:10">
      <c r="F35" t="s">
        <v>505</v>
      </c>
      <c r="G35" s="3"/>
      <c r="H35" s="3"/>
      <c r="I35" s="3">
        <v>2</v>
      </c>
      <c r="J35" s="3">
        <v>2</v>
      </c>
    </row>
    <row r="36" spans="6:10">
      <c r="F36" t="s">
        <v>848</v>
      </c>
      <c r="G36" s="3"/>
      <c r="H36" s="3"/>
      <c r="I36" s="3">
        <v>1</v>
      </c>
      <c r="J36" s="3">
        <v>1</v>
      </c>
    </row>
    <row r="37" spans="6:10">
      <c r="F37" t="s">
        <v>907</v>
      </c>
      <c r="G37" s="3"/>
      <c r="H37" s="3"/>
      <c r="I37" s="3">
        <v>1</v>
      </c>
      <c r="J37" s="3">
        <v>1</v>
      </c>
    </row>
    <row r="38" spans="6:10">
      <c r="F38" t="s">
        <v>433</v>
      </c>
      <c r="G38" s="3"/>
      <c r="H38" s="3">
        <v>2</v>
      </c>
      <c r="I38" s="3">
        <v>1</v>
      </c>
      <c r="J38" s="3">
        <v>3</v>
      </c>
    </row>
    <row r="39" spans="6:10">
      <c r="F39" t="s">
        <v>618</v>
      </c>
      <c r="G39" s="3"/>
      <c r="H39" s="3"/>
      <c r="I39" s="3">
        <v>1</v>
      </c>
      <c r="J39" s="3">
        <v>1</v>
      </c>
    </row>
    <row r="40" spans="6:10">
      <c r="F40" t="s">
        <v>586</v>
      </c>
      <c r="G40" s="3"/>
      <c r="H40" s="3"/>
      <c r="I40" s="3">
        <v>1</v>
      </c>
      <c r="J40" s="3">
        <v>1</v>
      </c>
    </row>
    <row r="41" spans="6:10">
      <c r="F41" t="s">
        <v>670</v>
      </c>
      <c r="G41" s="3"/>
      <c r="H41" s="3"/>
      <c r="I41" s="3">
        <v>1</v>
      </c>
      <c r="J41" s="3">
        <v>1</v>
      </c>
    </row>
    <row r="42" spans="6:10">
      <c r="F42" t="s">
        <v>650</v>
      </c>
      <c r="G42" s="3"/>
      <c r="H42" s="3"/>
      <c r="I42" s="3">
        <v>1</v>
      </c>
      <c r="J42" s="3">
        <v>1</v>
      </c>
    </row>
    <row r="43" spans="6:10">
      <c r="F43" t="s">
        <v>769</v>
      </c>
      <c r="G43" s="3"/>
      <c r="H43" s="3"/>
      <c r="I43" s="3">
        <v>1</v>
      </c>
      <c r="J43" s="3">
        <v>1</v>
      </c>
    </row>
    <row r="44" spans="6:10">
      <c r="F44" t="s">
        <v>705</v>
      </c>
      <c r="G44" s="3"/>
      <c r="H44" s="3"/>
      <c r="I44" s="3">
        <v>1</v>
      </c>
      <c r="J44" s="3">
        <v>1</v>
      </c>
    </row>
    <row r="45" spans="6:10">
      <c r="F45" t="s">
        <v>822</v>
      </c>
      <c r="G45" s="3"/>
      <c r="H45" s="3"/>
      <c r="I45" s="3">
        <v>1</v>
      </c>
      <c r="J45" s="3">
        <v>1</v>
      </c>
    </row>
    <row r="46" spans="6:10">
      <c r="F46" t="s">
        <v>918</v>
      </c>
      <c r="G46" s="3"/>
      <c r="H46" s="3"/>
      <c r="I46" s="3">
        <v>2</v>
      </c>
      <c r="J46" s="3">
        <v>2</v>
      </c>
    </row>
    <row r="47" spans="6:10">
      <c r="F47" t="s">
        <v>775</v>
      </c>
      <c r="G47" s="3"/>
      <c r="H47" s="3"/>
      <c r="I47" s="3">
        <v>1</v>
      </c>
      <c r="J47" s="3">
        <v>1</v>
      </c>
    </row>
    <row r="48" spans="6:10">
      <c r="F48" t="s">
        <v>791</v>
      </c>
      <c r="G48" s="3"/>
      <c r="H48" s="3"/>
      <c r="I48" s="3">
        <v>1</v>
      </c>
      <c r="J48" s="3">
        <v>1</v>
      </c>
    </row>
    <row r="49" spans="6:10">
      <c r="F49" t="s">
        <v>930</v>
      </c>
      <c r="G49" s="3"/>
      <c r="H49" s="3"/>
      <c r="I49" s="3">
        <v>1</v>
      </c>
      <c r="J49" s="3">
        <v>1</v>
      </c>
    </row>
    <row r="50" spans="6:10">
      <c r="F50" t="s">
        <v>878</v>
      </c>
      <c r="G50" s="3"/>
      <c r="H50" s="3">
        <v>2</v>
      </c>
      <c r="I50" s="3"/>
      <c r="J50" s="3">
        <v>2</v>
      </c>
    </row>
    <row r="51" spans="6:10">
      <c r="F51" t="s">
        <v>964</v>
      </c>
      <c r="G51" s="3"/>
      <c r="H51" s="3"/>
      <c r="I51" s="3">
        <v>1</v>
      </c>
      <c r="J51" s="3">
        <v>1</v>
      </c>
    </row>
    <row r="52" spans="6:10">
      <c r="F52" t="s">
        <v>1035</v>
      </c>
      <c r="G52" s="3"/>
      <c r="H52" s="3"/>
      <c r="I52" s="3">
        <v>1</v>
      </c>
      <c r="J52" s="3">
        <v>1</v>
      </c>
    </row>
    <row r="53" spans="6:10">
      <c r="F53" t="s">
        <v>564</v>
      </c>
      <c r="G53" s="3"/>
      <c r="H53" s="3"/>
      <c r="I53" s="3">
        <v>1</v>
      </c>
      <c r="J53" s="3">
        <v>1</v>
      </c>
    </row>
    <row r="54" spans="6:10">
      <c r="F54" t="s">
        <v>220</v>
      </c>
      <c r="G54" s="3">
        <v>1</v>
      </c>
      <c r="H54" s="3">
        <v>1</v>
      </c>
      <c r="I54" s="3">
        <v>3</v>
      </c>
      <c r="J54" s="3">
        <v>5</v>
      </c>
    </row>
    <row r="55" spans="6:10">
      <c r="F55" t="s">
        <v>1053</v>
      </c>
      <c r="G55" s="3"/>
      <c r="H55" s="3">
        <v>1</v>
      </c>
      <c r="I55" s="3"/>
      <c r="J55" s="3">
        <v>1</v>
      </c>
    </row>
    <row r="56" spans="6:10">
      <c r="F56" t="s">
        <v>868</v>
      </c>
      <c r="G56" s="3"/>
      <c r="H56" s="3">
        <v>1</v>
      </c>
      <c r="I56" s="3"/>
      <c r="J56" s="3">
        <v>1</v>
      </c>
    </row>
    <row r="57" spans="6:10">
      <c r="F57" t="s">
        <v>1044</v>
      </c>
      <c r="G57" s="3"/>
      <c r="H57" s="3">
        <v>1</v>
      </c>
      <c r="I57" s="3"/>
      <c r="J57" s="3">
        <v>1</v>
      </c>
    </row>
    <row r="58" spans="6:10">
      <c r="F58" t="s">
        <v>1175</v>
      </c>
      <c r="G58" s="3"/>
      <c r="H58" s="3"/>
      <c r="I58" s="3">
        <v>1</v>
      </c>
      <c r="J58" s="3">
        <v>1</v>
      </c>
    </row>
    <row r="59" spans="6:10">
      <c r="F59" t="s">
        <v>1068</v>
      </c>
      <c r="G59" s="3"/>
      <c r="H59" s="3"/>
      <c r="I59" s="3">
        <v>1</v>
      </c>
      <c r="J59" s="3">
        <v>1</v>
      </c>
    </row>
    <row r="60" spans="6:10">
      <c r="F60" t="s">
        <v>23</v>
      </c>
      <c r="G60" s="3"/>
      <c r="H60" s="3"/>
      <c r="I60" s="3">
        <v>1</v>
      </c>
      <c r="J60" s="3">
        <v>1</v>
      </c>
    </row>
    <row r="61" spans="6:10">
      <c r="F61" t="s">
        <v>1349</v>
      </c>
      <c r="G61" s="3">
        <v>2</v>
      </c>
      <c r="H61" s="3"/>
      <c r="I61" s="3">
        <v>1</v>
      </c>
      <c r="J61" s="3">
        <v>3</v>
      </c>
    </row>
    <row r="62" spans="6:10">
      <c r="F62" t="s">
        <v>1168</v>
      </c>
      <c r="G62" s="3"/>
      <c r="H62" s="3"/>
      <c r="I62" s="3">
        <v>1</v>
      </c>
      <c r="J62" s="3">
        <v>1</v>
      </c>
    </row>
    <row r="63" spans="6:10">
      <c r="F63" t="s">
        <v>1366</v>
      </c>
      <c r="G63" s="3"/>
      <c r="H63" s="3"/>
      <c r="I63" s="3">
        <v>1</v>
      </c>
      <c r="J63" s="3">
        <v>1</v>
      </c>
    </row>
    <row r="64" spans="6:10">
      <c r="F64" t="s">
        <v>1205</v>
      </c>
      <c r="G64" s="3">
        <v>1</v>
      </c>
      <c r="H64" s="3"/>
      <c r="I64" s="3"/>
      <c r="J64" s="3">
        <v>1</v>
      </c>
    </row>
    <row r="65" spans="6:10">
      <c r="F65" t="s">
        <v>975</v>
      </c>
      <c r="G65" s="3"/>
      <c r="H65" s="3">
        <v>1</v>
      </c>
      <c r="I65" s="3"/>
      <c r="J65" s="3">
        <v>1</v>
      </c>
    </row>
    <row r="66" spans="6:10">
      <c r="F66" t="s">
        <v>1370</v>
      </c>
      <c r="G66" s="3"/>
      <c r="H66" s="3"/>
      <c r="I66" s="3">
        <v>1</v>
      </c>
      <c r="J66" s="3">
        <v>1</v>
      </c>
    </row>
    <row r="67" spans="6:10">
      <c r="F67" t="s">
        <v>1200</v>
      </c>
      <c r="G67" s="3"/>
      <c r="H67" s="3"/>
      <c r="I67" s="3">
        <v>1</v>
      </c>
      <c r="J67" s="3">
        <v>1</v>
      </c>
    </row>
    <row r="68" spans="6:10">
      <c r="F68" t="s">
        <v>1417</v>
      </c>
      <c r="G68" s="3"/>
      <c r="H68" s="3"/>
      <c r="I68" s="3">
        <v>1</v>
      </c>
      <c r="J68" s="3">
        <v>1</v>
      </c>
    </row>
    <row r="69" spans="6:10">
      <c r="F69" t="s">
        <v>1222</v>
      </c>
      <c r="G69" s="3">
        <v>1</v>
      </c>
      <c r="H69" s="3"/>
      <c r="I69" s="3"/>
      <c r="J69" s="3">
        <v>1</v>
      </c>
    </row>
    <row r="70" spans="6:10">
      <c r="F70" t="s">
        <v>1110</v>
      </c>
      <c r="G70" s="3"/>
      <c r="H70" s="3"/>
      <c r="I70" s="3">
        <v>1</v>
      </c>
      <c r="J70" s="3">
        <v>1</v>
      </c>
    </row>
    <row r="71" spans="6:10">
      <c r="F71" t="s">
        <v>1215</v>
      </c>
      <c r="G71" s="3"/>
      <c r="H71" s="3"/>
      <c r="I71" s="3">
        <v>1</v>
      </c>
      <c r="J71" s="3">
        <v>1</v>
      </c>
    </row>
    <row r="72" spans="6:10">
      <c r="F72" t="s">
        <v>1269</v>
      </c>
      <c r="G72" s="3"/>
      <c r="H72" s="3"/>
      <c r="I72" s="3">
        <v>1</v>
      </c>
      <c r="J72" s="3">
        <v>1</v>
      </c>
    </row>
    <row r="73" spans="6:10">
      <c r="F73" t="s">
        <v>1286</v>
      </c>
      <c r="G73" s="3"/>
      <c r="H73" s="3"/>
      <c r="I73" s="3">
        <v>1</v>
      </c>
      <c r="J73" s="3">
        <v>1</v>
      </c>
    </row>
    <row r="74" spans="6:10">
      <c r="F74" t="s">
        <v>854</v>
      </c>
      <c r="G74" s="3">
        <v>6</v>
      </c>
      <c r="H74" s="3"/>
      <c r="I74" s="3"/>
      <c r="J74" s="3">
        <v>6</v>
      </c>
    </row>
    <row r="75" spans="6:10">
      <c r="F75" t="s">
        <v>1305</v>
      </c>
      <c r="G75" s="3"/>
      <c r="H75" s="3"/>
      <c r="I75" s="3">
        <v>1</v>
      </c>
      <c r="J75" s="3">
        <v>1</v>
      </c>
    </row>
    <row r="76" spans="6:10">
      <c r="F76" t="s">
        <v>1376</v>
      </c>
      <c r="G76" s="3">
        <v>1</v>
      </c>
      <c r="H76" s="3"/>
      <c r="I76" s="3"/>
      <c r="J76" s="3">
        <v>1</v>
      </c>
    </row>
    <row r="77" spans="6:10">
      <c r="F77" t="s">
        <v>1449</v>
      </c>
      <c r="G77" s="3"/>
      <c r="H77" s="3">
        <v>1</v>
      </c>
      <c r="I77" s="3"/>
      <c r="J77" s="3">
        <v>1</v>
      </c>
    </row>
    <row r="78" spans="6:10">
      <c r="F78" t="s">
        <v>443</v>
      </c>
      <c r="G78" s="3"/>
      <c r="H78" s="3">
        <v>1</v>
      </c>
      <c r="I78" s="3"/>
      <c r="J78" s="3">
        <v>1</v>
      </c>
    </row>
    <row r="79" spans="6:10">
      <c r="F79" t="s">
        <v>960</v>
      </c>
      <c r="G79" s="3"/>
      <c r="H79" s="3"/>
      <c r="I79" s="3">
        <v>1</v>
      </c>
      <c r="J79" s="3">
        <v>1</v>
      </c>
    </row>
    <row r="80" spans="6:10">
      <c r="F80" t="s">
        <v>1291</v>
      </c>
      <c r="G80" s="3"/>
      <c r="H80" s="3">
        <v>1</v>
      </c>
      <c r="I80" s="3"/>
      <c r="J80" s="3">
        <v>1</v>
      </c>
    </row>
    <row r="81" spans="6:10">
      <c r="F81" t="s">
        <v>1159</v>
      </c>
      <c r="G81" s="3"/>
      <c r="H81" s="3">
        <v>1</v>
      </c>
      <c r="I81" s="3"/>
      <c r="J81" s="3">
        <v>1</v>
      </c>
    </row>
    <row r="82" spans="6:10">
      <c r="F82" t="s">
        <v>1613</v>
      </c>
      <c r="G82" s="3"/>
      <c r="H82" s="3">
        <v>1</v>
      </c>
      <c r="I82" s="3"/>
      <c r="J82" s="3">
        <v>1</v>
      </c>
    </row>
    <row r="83" spans="6:10">
      <c r="F83" t="s">
        <v>1443</v>
      </c>
      <c r="G83" s="3"/>
      <c r="H83" s="3"/>
      <c r="I83" s="3">
        <v>1</v>
      </c>
      <c r="J83" s="3">
        <v>1</v>
      </c>
    </row>
    <row r="84" spans="6:10">
      <c r="F84" t="s">
        <v>1252</v>
      </c>
      <c r="G84" s="3"/>
      <c r="H84" s="3"/>
      <c r="I84" s="3">
        <v>1</v>
      </c>
      <c r="J84" s="3">
        <v>1</v>
      </c>
    </row>
    <row r="85" spans="6:10">
      <c r="F85" t="s">
        <v>1390</v>
      </c>
      <c r="G85" s="3"/>
      <c r="H85" s="3"/>
      <c r="I85" s="3">
        <v>1</v>
      </c>
      <c r="J85" s="3">
        <v>1</v>
      </c>
    </row>
    <row r="86" spans="6:10">
      <c r="F86" t="s">
        <v>1503</v>
      </c>
      <c r="G86" s="3"/>
      <c r="H86" s="3"/>
      <c r="I86" s="3">
        <v>1</v>
      </c>
      <c r="J86" s="3">
        <v>1</v>
      </c>
    </row>
    <row r="87" spans="6:10">
      <c r="F87" t="s">
        <v>1519</v>
      </c>
      <c r="G87" s="3"/>
      <c r="H87" s="3"/>
      <c r="I87" s="3">
        <v>1</v>
      </c>
      <c r="J87" s="3">
        <v>1</v>
      </c>
    </row>
    <row r="88" spans="6:10">
      <c r="F88" t="s">
        <v>1327</v>
      </c>
      <c r="G88" s="3"/>
      <c r="H88" s="3">
        <v>1</v>
      </c>
      <c r="I88" s="3">
        <v>1</v>
      </c>
      <c r="J88" s="3">
        <v>2</v>
      </c>
    </row>
    <row r="89" spans="6:10">
      <c r="F89" t="s">
        <v>1482</v>
      </c>
      <c r="G89" s="3"/>
      <c r="H89" s="3"/>
      <c r="I89" s="3">
        <v>1</v>
      </c>
      <c r="J89" s="3">
        <v>1</v>
      </c>
    </row>
    <row r="90" spans="6:10">
      <c r="F90" t="s">
        <v>1622</v>
      </c>
      <c r="G90" s="3"/>
      <c r="H90" s="3"/>
      <c r="I90" s="3">
        <v>1</v>
      </c>
      <c r="J90" s="3">
        <v>1</v>
      </c>
    </row>
    <row r="91" spans="6:10">
      <c r="F91" t="s">
        <v>1630</v>
      </c>
      <c r="G91" s="3"/>
      <c r="H91" s="3">
        <v>1</v>
      </c>
      <c r="I91" s="3"/>
      <c r="J91" s="3">
        <v>1</v>
      </c>
    </row>
    <row r="92" spans="6:10">
      <c r="F92" t="s">
        <v>1654</v>
      </c>
      <c r="G92" s="3"/>
      <c r="H92" s="3"/>
      <c r="I92" s="3">
        <v>3</v>
      </c>
      <c r="J92" s="3">
        <v>3</v>
      </c>
    </row>
    <row r="93" spans="6:10">
      <c r="F93" t="s">
        <v>1725</v>
      </c>
      <c r="G93" s="3"/>
      <c r="H93" s="3"/>
      <c r="I93" s="3">
        <v>2</v>
      </c>
      <c r="J93" s="3">
        <v>2</v>
      </c>
    </row>
    <row r="94" spans="6:10">
      <c r="F94" t="s">
        <v>1180</v>
      </c>
      <c r="G94" s="3"/>
      <c r="H94" s="3"/>
      <c r="I94" s="3">
        <v>1</v>
      </c>
      <c r="J94" s="3">
        <v>1</v>
      </c>
    </row>
    <row r="95" spans="6:10">
      <c r="F95" t="s">
        <v>1694</v>
      </c>
      <c r="G95" s="3"/>
      <c r="H95" s="3">
        <v>1</v>
      </c>
      <c r="I95" s="3"/>
      <c r="J95" s="3">
        <v>1</v>
      </c>
    </row>
    <row r="96" spans="6:10">
      <c r="F96" t="s">
        <v>1569</v>
      </c>
      <c r="G96" s="3"/>
      <c r="H96" s="3"/>
      <c r="I96" s="3">
        <v>2</v>
      </c>
      <c r="J96" s="3">
        <v>2</v>
      </c>
    </row>
    <row r="97" spans="6:10">
      <c r="F97" t="s">
        <v>1492</v>
      </c>
      <c r="G97" s="3"/>
      <c r="H97" s="3">
        <v>1</v>
      </c>
      <c r="I97" s="3"/>
      <c r="J97" s="3">
        <v>1</v>
      </c>
    </row>
    <row r="98" spans="6:10">
      <c r="F98" t="s">
        <v>1627</v>
      </c>
      <c r="G98" s="3"/>
      <c r="H98" s="3"/>
      <c r="I98" s="3">
        <v>2</v>
      </c>
      <c r="J98" s="3">
        <v>2</v>
      </c>
    </row>
    <row r="99" spans="6:10">
      <c r="F99" t="s">
        <v>1601</v>
      </c>
      <c r="G99" s="3"/>
      <c r="H99" s="3"/>
      <c r="I99" s="3">
        <v>1</v>
      </c>
      <c r="J99" s="3">
        <v>1</v>
      </c>
    </row>
    <row r="100" spans="6:10">
      <c r="F100" t="s">
        <v>1708</v>
      </c>
      <c r="G100" s="3"/>
      <c r="H100" s="3"/>
      <c r="I100" s="3">
        <v>1</v>
      </c>
      <c r="J100" s="3">
        <v>1</v>
      </c>
    </row>
    <row r="101" spans="6:10">
      <c r="F101" t="s">
        <v>1635</v>
      </c>
      <c r="G101" s="3"/>
      <c r="H101" s="3"/>
      <c r="I101" s="3">
        <v>1</v>
      </c>
      <c r="J101" s="3">
        <v>1</v>
      </c>
    </row>
    <row r="102" spans="6:10">
      <c r="F102" t="s">
        <v>1640</v>
      </c>
      <c r="G102" s="3"/>
      <c r="H102" s="3"/>
      <c r="I102" s="3">
        <v>1</v>
      </c>
      <c r="J102" s="3">
        <v>1</v>
      </c>
    </row>
    <row r="103" spans="6:10">
      <c r="F103" t="s">
        <v>1646</v>
      </c>
      <c r="G103" s="3"/>
      <c r="H103" s="3">
        <v>2</v>
      </c>
      <c r="I103" s="3"/>
      <c r="J103" s="3">
        <v>2</v>
      </c>
    </row>
    <row r="104" spans="6:10">
      <c r="F104" t="s">
        <v>1720</v>
      </c>
      <c r="G104" s="3"/>
      <c r="H104" s="3"/>
      <c r="I104" s="3">
        <v>1</v>
      </c>
      <c r="J104" s="3">
        <v>1</v>
      </c>
    </row>
    <row r="105" spans="6:10">
      <c r="F105" t="s">
        <v>1690</v>
      </c>
      <c r="G105" s="3"/>
      <c r="H105" s="3">
        <v>1</v>
      </c>
      <c r="I105" s="3"/>
      <c r="J105" s="3">
        <v>1</v>
      </c>
    </row>
    <row r="106" spans="6:10">
      <c r="F106" t="s">
        <v>1678</v>
      </c>
      <c r="G106" s="3"/>
      <c r="H106" s="3">
        <v>1</v>
      </c>
      <c r="I106" s="3">
        <v>1</v>
      </c>
      <c r="J106" s="3">
        <v>2</v>
      </c>
    </row>
    <row r="107" spans="6:10">
      <c r="F107" t="s">
        <v>754</v>
      </c>
      <c r="G107" s="3"/>
      <c r="H107" s="3"/>
      <c r="I107" s="3">
        <v>1</v>
      </c>
      <c r="J107" s="3">
        <v>1</v>
      </c>
    </row>
    <row r="108" spans="6:10">
      <c r="F108" t="s">
        <v>1185</v>
      </c>
      <c r="G108" s="3"/>
      <c r="H108" s="3"/>
      <c r="I108" s="3">
        <v>1</v>
      </c>
      <c r="J108" s="3">
        <v>1</v>
      </c>
    </row>
    <row r="109" spans="6:10">
      <c r="F109" t="s">
        <v>183</v>
      </c>
      <c r="G109" s="3"/>
      <c r="H109" s="3"/>
      <c r="I109" s="3">
        <v>1</v>
      </c>
      <c r="J109" s="3">
        <v>1</v>
      </c>
    </row>
    <row r="110" spans="6:10">
      <c r="F110" t="s">
        <v>252</v>
      </c>
      <c r="G110" s="3">
        <v>1</v>
      </c>
      <c r="H110" s="3">
        <v>1</v>
      </c>
      <c r="I110" s="3">
        <v>6</v>
      </c>
      <c r="J110" s="3">
        <v>8</v>
      </c>
    </row>
    <row r="111" spans="6:10">
      <c r="F111" t="s">
        <v>64</v>
      </c>
      <c r="G111" s="3"/>
      <c r="H111" s="3"/>
      <c r="I111" s="3">
        <v>3</v>
      </c>
      <c r="J111" s="3">
        <v>3</v>
      </c>
    </row>
    <row r="112" spans="6:10">
      <c r="F112" t="s">
        <v>45</v>
      </c>
      <c r="G112" s="3"/>
      <c r="H112" s="3"/>
      <c r="I112" s="3">
        <v>3</v>
      </c>
      <c r="J112" s="3">
        <v>3</v>
      </c>
    </row>
    <row r="113" spans="6:10">
      <c r="F113" t="s">
        <v>89</v>
      </c>
      <c r="G113" s="3"/>
      <c r="H113" s="3"/>
      <c r="I113" s="3">
        <v>1</v>
      </c>
      <c r="J113" s="3">
        <v>1</v>
      </c>
    </row>
    <row r="114" spans="6:10">
      <c r="F114" t="s">
        <v>188</v>
      </c>
      <c r="G114" s="3"/>
      <c r="H114" s="3">
        <v>1</v>
      </c>
      <c r="I114" s="3"/>
      <c r="J114" s="3">
        <v>1</v>
      </c>
    </row>
    <row r="115" spans="6:10">
      <c r="F115" t="s">
        <v>94</v>
      </c>
      <c r="G115" s="3"/>
      <c r="H115" s="3"/>
      <c r="I115" s="3">
        <v>1</v>
      </c>
      <c r="J115" s="3">
        <v>1</v>
      </c>
    </row>
    <row r="116" spans="6:10">
      <c r="F116" t="s">
        <v>160</v>
      </c>
      <c r="G116" s="3"/>
      <c r="H116" s="3"/>
      <c r="I116" s="3">
        <v>1</v>
      </c>
      <c r="J116" s="3">
        <v>1</v>
      </c>
    </row>
    <row r="117" spans="6:10">
      <c r="F117" t="s">
        <v>83</v>
      </c>
      <c r="G117" s="3"/>
      <c r="H117" s="3"/>
      <c r="I117" s="3">
        <v>1</v>
      </c>
      <c r="J117" s="3">
        <v>1</v>
      </c>
    </row>
    <row r="118" spans="6:10">
      <c r="F118" t="s">
        <v>142</v>
      </c>
      <c r="G118" s="3"/>
      <c r="H118" s="3"/>
      <c r="I118" s="3">
        <v>1</v>
      </c>
      <c r="J118" s="3">
        <v>1</v>
      </c>
    </row>
    <row r="119" spans="6:10">
      <c r="F119" t="s">
        <v>137</v>
      </c>
      <c r="G119" s="3"/>
      <c r="H119" s="3"/>
      <c r="I119" s="3">
        <v>1</v>
      </c>
      <c r="J119" s="3">
        <v>1</v>
      </c>
    </row>
    <row r="120" spans="6:10">
      <c r="F120" t="s">
        <v>124</v>
      </c>
      <c r="G120" s="3">
        <v>1</v>
      </c>
      <c r="H120" s="3"/>
      <c r="I120" s="3">
        <v>1</v>
      </c>
      <c r="J120" s="3">
        <v>2</v>
      </c>
    </row>
    <row r="121" spans="6:10">
      <c r="F121" t="s">
        <v>234</v>
      </c>
      <c r="G121" s="3"/>
      <c r="H121" s="3"/>
      <c r="I121" s="3">
        <v>1</v>
      </c>
      <c r="J121" s="3">
        <v>1</v>
      </c>
    </row>
    <row r="122" spans="6:10">
      <c r="F122" t="s">
        <v>170</v>
      </c>
      <c r="G122" s="3"/>
      <c r="H122" s="3"/>
      <c r="I122" s="3">
        <v>1</v>
      </c>
      <c r="J122" s="3">
        <v>1</v>
      </c>
    </row>
    <row r="123" spans="6:10">
      <c r="F123" t="s">
        <v>297</v>
      </c>
      <c r="G123" s="3"/>
      <c r="H123" s="3"/>
      <c r="I123" s="3">
        <v>1</v>
      </c>
      <c r="J123" s="3">
        <v>1</v>
      </c>
    </row>
    <row r="124" spans="6:10">
      <c r="F124" t="s">
        <v>108</v>
      </c>
      <c r="G124" s="3"/>
      <c r="H124" s="3"/>
      <c r="I124" s="3">
        <v>1</v>
      </c>
      <c r="J124" s="3">
        <v>1</v>
      </c>
    </row>
    <row r="125" spans="6:10">
      <c r="F125" t="s">
        <v>165</v>
      </c>
      <c r="G125" s="3"/>
      <c r="H125" s="3"/>
      <c r="I125" s="3">
        <v>1</v>
      </c>
      <c r="J125" s="3">
        <v>1</v>
      </c>
    </row>
    <row r="126" spans="6:10">
      <c r="F126" t="s">
        <v>274</v>
      </c>
      <c r="G126" s="3"/>
      <c r="H126" s="3"/>
      <c r="I126" s="3">
        <v>1</v>
      </c>
      <c r="J126" s="3">
        <v>1</v>
      </c>
    </row>
    <row r="127" spans="6:10">
      <c r="F127" t="s">
        <v>147</v>
      </c>
      <c r="G127" s="3"/>
      <c r="H127" s="3"/>
      <c r="I127" s="3">
        <v>1</v>
      </c>
      <c r="J127" s="3">
        <v>1</v>
      </c>
    </row>
    <row r="128" spans="6:10">
      <c r="F128" t="s">
        <v>313</v>
      </c>
      <c r="G128" s="3"/>
      <c r="H128" s="3"/>
      <c r="I128" s="3">
        <v>1</v>
      </c>
      <c r="J128" s="3">
        <v>1</v>
      </c>
    </row>
    <row r="129" spans="6:10">
      <c r="F129" t="s">
        <v>515</v>
      </c>
      <c r="G129" s="3"/>
      <c r="H129" s="3">
        <v>1</v>
      </c>
      <c r="I129" s="3"/>
      <c r="J129" s="3">
        <v>1</v>
      </c>
    </row>
    <row r="130" spans="6:10">
      <c r="F130" t="s">
        <v>400</v>
      </c>
      <c r="G130" s="3"/>
      <c r="H130" s="3">
        <v>1</v>
      </c>
      <c r="I130" s="3"/>
      <c r="J130" s="3">
        <v>1</v>
      </c>
    </row>
    <row r="131" spans="6:10">
      <c r="F131" t="s">
        <v>347</v>
      </c>
      <c r="G131" s="3"/>
      <c r="H131" s="3">
        <v>1</v>
      </c>
      <c r="I131" s="3"/>
      <c r="J131" s="3">
        <v>1</v>
      </c>
    </row>
    <row r="132" spans="6:10">
      <c r="F132" t="s">
        <v>363</v>
      </c>
      <c r="G132" s="3"/>
      <c r="H132" s="3"/>
      <c r="I132" s="3">
        <v>1</v>
      </c>
      <c r="J132" s="3">
        <v>1</v>
      </c>
    </row>
    <row r="133" spans="6:10">
      <c r="F133" t="s">
        <v>308</v>
      </c>
      <c r="G133" s="3"/>
      <c r="H133" s="3"/>
      <c r="I133" s="3">
        <v>1</v>
      </c>
      <c r="J133" s="3">
        <v>1</v>
      </c>
    </row>
    <row r="134" spans="6:10">
      <c r="F134" t="s">
        <v>429</v>
      </c>
      <c r="G134" s="3"/>
      <c r="H134" s="3"/>
      <c r="I134" s="3">
        <v>1</v>
      </c>
      <c r="J134" s="3">
        <v>1</v>
      </c>
    </row>
    <row r="135" spans="6:10">
      <c r="F135" t="s">
        <v>581</v>
      </c>
      <c r="G135" s="3"/>
      <c r="H135" s="3"/>
      <c r="I135" s="3">
        <v>1</v>
      </c>
      <c r="J135" s="3">
        <v>1</v>
      </c>
    </row>
    <row r="136" spans="6:10">
      <c r="F136" t="s">
        <v>380</v>
      </c>
      <c r="G136" s="3"/>
      <c r="H136" s="3">
        <v>2</v>
      </c>
      <c r="I136" s="3">
        <v>1</v>
      </c>
      <c r="J136" s="3">
        <v>3</v>
      </c>
    </row>
    <row r="137" spans="6:10">
      <c r="F137" t="s">
        <v>328</v>
      </c>
      <c r="G137" s="3"/>
      <c r="H137" s="3"/>
      <c r="I137" s="3">
        <v>1</v>
      </c>
      <c r="J137" s="3">
        <v>1</v>
      </c>
    </row>
    <row r="138" spans="6:10">
      <c r="F138" t="s">
        <v>614</v>
      </c>
      <c r="G138" s="3"/>
      <c r="H138" s="3"/>
      <c r="I138" s="3">
        <v>1</v>
      </c>
      <c r="J138" s="3">
        <v>1</v>
      </c>
    </row>
    <row r="139" spans="6:10">
      <c r="F139" t="s">
        <v>551</v>
      </c>
      <c r="G139" s="3"/>
      <c r="H139" s="3"/>
      <c r="I139" s="3">
        <v>1</v>
      </c>
      <c r="J139" s="3">
        <v>1</v>
      </c>
    </row>
    <row r="140" spans="6:10">
      <c r="F140" t="s">
        <v>636</v>
      </c>
      <c r="G140" s="3">
        <v>1</v>
      </c>
      <c r="H140" s="3"/>
      <c r="I140" s="3"/>
      <c r="J140" s="3">
        <v>1</v>
      </c>
    </row>
    <row r="141" spans="6:10">
      <c r="F141" t="s">
        <v>839</v>
      </c>
      <c r="G141" s="3"/>
      <c r="H141" s="3"/>
      <c r="I141" s="3">
        <v>2</v>
      </c>
      <c r="J141" s="3">
        <v>2</v>
      </c>
    </row>
    <row r="142" spans="6:10">
      <c r="F142" t="s">
        <v>336</v>
      </c>
      <c r="G142" s="3"/>
      <c r="H142" s="3">
        <v>1</v>
      </c>
      <c r="I142" s="3"/>
      <c r="J142" s="3">
        <v>1</v>
      </c>
    </row>
    <row r="143" spans="6:10">
      <c r="F143" t="s">
        <v>675</v>
      </c>
      <c r="G143" s="3"/>
      <c r="H143" s="3"/>
      <c r="I143" s="3">
        <v>1</v>
      </c>
      <c r="J143" s="3">
        <v>1</v>
      </c>
    </row>
    <row r="144" spans="6:10">
      <c r="F144" t="s">
        <v>781</v>
      </c>
      <c r="G144" s="3">
        <v>1</v>
      </c>
      <c r="H144" s="3"/>
      <c r="I144" s="3"/>
      <c r="J144" s="3">
        <v>1</v>
      </c>
    </row>
    <row r="145" spans="6:10">
      <c r="F145" t="s">
        <v>696</v>
      </c>
      <c r="G145" s="3"/>
      <c r="H145" s="3"/>
      <c r="I145" s="3">
        <v>1</v>
      </c>
      <c r="J145" s="3">
        <v>1</v>
      </c>
    </row>
    <row r="146" spans="6:10">
      <c r="F146" t="s">
        <v>627</v>
      </c>
      <c r="G146" s="3"/>
      <c r="H146" s="3"/>
      <c r="I146" s="3">
        <v>1</v>
      </c>
      <c r="J146" s="3">
        <v>1</v>
      </c>
    </row>
    <row r="147" spans="6:10">
      <c r="F147" t="s">
        <v>659</v>
      </c>
      <c r="G147" s="3"/>
      <c r="H147" s="3"/>
      <c r="I147" s="3">
        <v>1</v>
      </c>
      <c r="J147" s="3">
        <v>1</v>
      </c>
    </row>
    <row r="148" spans="6:10">
      <c r="F148" t="s">
        <v>688</v>
      </c>
      <c r="G148" s="3"/>
      <c r="H148" s="3">
        <v>1</v>
      </c>
      <c r="I148" s="3">
        <v>1</v>
      </c>
      <c r="J148" s="3">
        <v>2</v>
      </c>
    </row>
    <row r="149" spans="6:10">
      <c r="F149" t="s">
        <v>700</v>
      </c>
      <c r="G149" s="3"/>
      <c r="H149" s="3">
        <v>1</v>
      </c>
      <c r="I149" s="3"/>
      <c r="J149" s="3">
        <v>1</v>
      </c>
    </row>
    <row r="150" spans="6:10">
      <c r="F150" t="s">
        <v>603</v>
      </c>
      <c r="G150" s="3"/>
      <c r="H150" s="3"/>
      <c r="I150" s="3">
        <v>1</v>
      </c>
      <c r="J150" s="3">
        <v>1</v>
      </c>
    </row>
    <row r="151" spans="6:10">
      <c r="F151" t="s">
        <v>684</v>
      </c>
      <c r="G151" s="3"/>
      <c r="H151" s="3">
        <v>1</v>
      </c>
      <c r="I151" s="3">
        <v>1</v>
      </c>
      <c r="J151" s="3">
        <v>2</v>
      </c>
    </row>
    <row r="152" spans="6:10">
      <c r="F152" t="s">
        <v>924</v>
      </c>
      <c r="G152" s="3"/>
      <c r="H152" s="3">
        <v>1</v>
      </c>
      <c r="I152" s="3"/>
      <c r="J152" s="3">
        <v>1</v>
      </c>
    </row>
    <row r="153" spans="6:10">
      <c r="F153" t="s">
        <v>946</v>
      </c>
      <c r="G153" s="3"/>
      <c r="H153" s="3">
        <v>1</v>
      </c>
      <c r="I153" s="3"/>
      <c r="J153" s="3">
        <v>1</v>
      </c>
    </row>
    <row r="154" spans="6:10">
      <c r="F154" t="s">
        <v>680</v>
      </c>
      <c r="G154" s="3"/>
      <c r="H154" s="3"/>
      <c r="I154" s="3">
        <v>1</v>
      </c>
      <c r="J154" s="3">
        <v>1</v>
      </c>
    </row>
    <row r="155" spans="6:10">
      <c r="F155" t="s">
        <v>640</v>
      </c>
      <c r="G155" s="3"/>
      <c r="H155" s="3">
        <v>1</v>
      </c>
      <c r="I155" s="3"/>
      <c r="J155" s="3">
        <v>1</v>
      </c>
    </row>
    <row r="156" spans="6:10">
      <c r="F156" t="s">
        <v>828</v>
      </c>
      <c r="G156" s="3"/>
      <c r="H156" s="3"/>
      <c r="I156" s="3">
        <v>1</v>
      </c>
      <c r="J156" s="3">
        <v>1</v>
      </c>
    </row>
    <row r="157" spans="6:10">
      <c r="F157" t="s">
        <v>764</v>
      </c>
      <c r="G157" s="3"/>
      <c r="H157" s="3">
        <v>1</v>
      </c>
      <c r="I157" s="3"/>
      <c r="J157" s="3">
        <v>1</v>
      </c>
    </row>
    <row r="158" spans="6:10">
      <c r="F158" t="s">
        <v>743</v>
      </c>
      <c r="G158" s="3"/>
      <c r="H158" s="3"/>
      <c r="I158" s="3">
        <v>1</v>
      </c>
      <c r="J158" s="3">
        <v>1</v>
      </c>
    </row>
    <row r="159" spans="6:10">
      <c r="F159" t="s">
        <v>520</v>
      </c>
      <c r="G159" s="3"/>
      <c r="H159" s="3"/>
      <c r="I159" s="3">
        <v>1</v>
      </c>
      <c r="J159" s="3">
        <v>1</v>
      </c>
    </row>
    <row r="160" spans="6:10">
      <c r="F160" t="s">
        <v>748</v>
      </c>
      <c r="G160" s="3"/>
      <c r="H160" s="3">
        <v>1</v>
      </c>
      <c r="I160" s="3"/>
      <c r="J160" s="3">
        <v>1</v>
      </c>
    </row>
    <row r="161" spans="6:10">
      <c r="F161" t="s">
        <v>816</v>
      </c>
      <c r="G161" s="3"/>
      <c r="H161" s="3">
        <v>1</v>
      </c>
      <c r="I161" s="3"/>
      <c r="J161" s="3">
        <v>1</v>
      </c>
    </row>
    <row r="162" spans="6:10">
      <c r="F162" t="s">
        <v>811</v>
      </c>
      <c r="G162" s="3"/>
      <c r="H162" s="3"/>
      <c r="I162" s="3">
        <v>1</v>
      </c>
      <c r="J162" s="3">
        <v>1</v>
      </c>
    </row>
    <row r="163" spans="6:10">
      <c r="F163" t="s">
        <v>913</v>
      </c>
      <c r="G163" s="3"/>
      <c r="H163" s="3"/>
      <c r="I163" s="3">
        <v>1</v>
      </c>
      <c r="J163" s="3">
        <v>1</v>
      </c>
    </row>
    <row r="164" spans="6:10">
      <c r="F164" t="s">
        <v>941</v>
      </c>
      <c r="G164" s="3"/>
      <c r="H164" s="3">
        <v>1</v>
      </c>
      <c r="I164" s="3">
        <v>2</v>
      </c>
      <c r="J164" s="3">
        <v>3</v>
      </c>
    </row>
    <row r="165" spans="6:10">
      <c r="F165" t="s">
        <v>988</v>
      </c>
      <c r="G165" s="3"/>
      <c r="H165" s="3"/>
      <c r="I165" s="3">
        <v>1</v>
      </c>
      <c r="J165" s="3">
        <v>1</v>
      </c>
    </row>
    <row r="166" spans="6:10">
      <c r="F166" t="s">
        <v>797</v>
      </c>
      <c r="G166" s="3"/>
      <c r="H166" s="3">
        <v>1</v>
      </c>
      <c r="I166" s="3"/>
      <c r="J166" s="3">
        <v>1</v>
      </c>
    </row>
    <row r="167" spans="6:10">
      <c r="F167" t="s">
        <v>994</v>
      </c>
      <c r="G167" s="3"/>
      <c r="H167" s="3">
        <v>1</v>
      </c>
      <c r="I167" s="3"/>
      <c r="J167" s="3">
        <v>1</v>
      </c>
    </row>
    <row r="168" spans="6:10">
      <c r="F168" t="s">
        <v>874</v>
      </c>
      <c r="G168" s="3"/>
      <c r="H168" s="3"/>
      <c r="I168" s="3">
        <v>1</v>
      </c>
      <c r="J168" s="3">
        <v>1</v>
      </c>
    </row>
    <row r="169" spans="6:10">
      <c r="F169" t="s">
        <v>935</v>
      </c>
      <c r="G169" s="3"/>
      <c r="H169" s="3">
        <v>1</v>
      </c>
      <c r="I169" s="3"/>
      <c r="J169" s="3">
        <v>1</v>
      </c>
    </row>
    <row r="170" spans="6:10">
      <c r="F170" t="s">
        <v>1000</v>
      </c>
      <c r="G170" s="3"/>
      <c r="H170" s="3">
        <v>2</v>
      </c>
      <c r="I170" s="3"/>
      <c r="J170" s="3">
        <v>2</v>
      </c>
    </row>
    <row r="171" spans="6:10">
      <c r="F171" t="s">
        <v>786</v>
      </c>
      <c r="G171" s="3"/>
      <c r="H171" s="3"/>
      <c r="I171" s="3">
        <v>1</v>
      </c>
      <c r="J171" s="3">
        <v>1</v>
      </c>
    </row>
    <row r="172" spans="6:10">
      <c r="F172" t="s">
        <v>888</v>
      </c>
      <c r="G172" s="3">
        <v>1</v>
      </c>
      <c r="H172" s="3"/>
      <c r="I172" s="3"/>
      <c r="J172" s="3">
        <v>1</v>
      </c>
    </row>
    <row r="173" spans="6:10">
      <c r="F173" t="s">
        <v>952</v>
      </c>
      <c r="G173" s="3"/>
      <c r="H173" s="3">
        <v>1</v>
      </c>
      <c r="I173" s="3"/>
      <c r="J173" s="3">
        <v>1</v>
      </c>
    </row>
    <row r="174" spans="6:10">
      <c r="F174" t="s">
        <v>1006</v>
      </c>
      <c r="G174" s="3"/>
      <c r="H174" s="3"/>
      <c r="I174" s="3">
        <v>1</v>
      </c>
      <c r="J174" s="3">
        <v>1</v>
      </c>
    </row>
    <row r="175" spans="6:10">
      <c r="F175" t="s">
        <v>1049</v>
      </c>
      <c r="G175" s="3"/>
      <c r="H175" s="3">
        <v>1</v>
      </c>
      <c r="I175" s="3"/>
      <c r="J175" s="3">
        <v>1</v>
      </c>
    </row>
    <row r="176" spans="6:10">
      <c r="F176" t="s">
        <v>984</v>
      </c>
      <c r="G176" s="3"/>
      <c r="H176" s="3">
        <v>1</v>
      </c>
      <c r="I176" s="3"/>
      <c r="J176" s="3">
        <v>1</v>
      </c>
    </row>
    <row r="177" spans="6:10">
      <c r="F177" t="s">
        <v>893</v>
      </c>
      <c r="G177" s="3"/>
      <c r="H177" s="3"/>
      <c r="I177" s="3">
        <v>4</v>
      </c>
      <c r="J177" s="3">
        <v>4</v>
      </c>
    </row>
    <row r="178" spans="6:10">
      <c r="F178" t="s">
        <v>956</v>
      </c>
      <c r="G178" s="3"/>
      <c r="H178" s="3"/>
      <c r="I178" s="3">
        <v>1</v>
      </c>
      <c r="J178" s="3">
        <v>1</v>
      </c>
    </row>
    <row r="179" spans="6:10">
      <c r="F179" t="s">
        <v>1074</v>
      </c>
      <c r="G179" s="3"/>
      <c r="H179" s="3"/>
      <c r="I179" s="3">
        <v>1</v>
      </c>
      <c r="J179" s="3">
        <v>1</v>
      </c>
    </row>
    <row r="180" spans="6:10">
      <c r="F180" t="s">
        <v>980</v>
      </c>
      <c r="G180" s="3"/>
      <c r="H180" s="3"/>
      <c r="I180" s="3">
        <v>1</v>
      </c>
      <c r="J180" s="3">
        <v>1</v>
      </c>
    </row>
    <row r="181" spans="6:10">
      <c r="F181" t="s">
        <v>539</v>
      </c>
      <c r="G181" s="3"/>
      <c r="H181" s="3"/>
      <c r="I181" s="3">
        <v>1</v>
      </c>
      <c r="J181" s="3">
        <v>1</v>
      </c>
    </row>
    <row r="182" spans="6:10">
      <c r="F182" t="s">
        <v>1114</v>
      </c>
      <c r="G182" s="3"/>
      <c r="H182" s="3">
        <v>1</v>
      </c>
      <c r="I182" s="3"/>
      <c r="J182" s="3">
        <v>1</v>
      </c>
    </row>
    <row r="183" spans="6:10">
      <c r="F183" t="s">
        <v>1171</v>
      </c>
      <c r="G183" s="3"/>
      <c r="H183" s="3"/>
      <c r="I183" s="3">
        <v>1</v>
      </c>
      <c r="J183" s="3">
        <v>1</v>
      </c>
    </row>
    <row r="184" spans="6:10">
      <c r="F184" t="s">
        <v>1119</v>
      </c>
      <c r="G184" s="3"/>
      <c r="H184" s="3"/>
      <c r="I184" s="3">
        <v>1</v>
      </c>
      <c r="J184" s="3">
        <v>1</v>
      </c>
    </row>
    <row r="185" spans="6:10">
      <c r="F185" t="s">
        <v>1090</v>
      </c>
      <c r="G185" s="3"/>
      <c r="H185" s="3">
        <v>1</v>
      </c>
      <c r="I185" s="3"/>
      <c r="J185" s="3">
        <v>1</v>
      </c>
    </row>
    <row r="186" spans="6:10">
      <c r="F186" t="s">
        <v>1189</v>
      </c>
      <c r="G186" s="3"/>
      <c r="H186" s="3"/>
      <c r="I186" s="3">
        <v>1</v>
      </c>
      <c r="J186" s="3">
        <v>1</v>
      </c>
    </row>
    <row r="187" spans="6:10">
      <c r="F187" t="s">
        <v>1247</v>
      </c>
      <c r="G187" s="3"/>
      <c r="H187" s="3"/>
      <c r="I187" s="3">
        <v>1</v>
      </c>
      <c r="J187" s="3">
        <v>1</v>
      </c>
    </row>
    <row r="188" spans="6:10">
      <c r="F188" t="s">
        <v>1105</v>
      </c>
      <c r="G188" s="3"/>
      <c r="H188" s="3">
        <v>1</v>
      </c>
      <c r="I188" s="3"/>
      <c r="J188" s="3">
        <v>1</v>
      </c>
    </row>
    <row r="189" spans="6:10">
      <c r="F189" t="s">
        <v>1124</v>
      </c>
      <c r="G189" s="3"/>
      <c r="H189" s="3">
        <v>1</v>
      </c>
      <c r="I189" s="3"/>
      <c r="J189" s="3">
        <v>1</v>
      </c>
    </row>
    <row r="190" spans="6:10">
      <c r="F190" t="s">
        <v>1140</v>
      </c>
      <c r="G190" s="3"/>
      <c r="H190" s="3"/>
      <c r="I190" s="3">
        <v>1</v>
      </c>
      <c r="J190" s="3">
        <v>1</v>
      </c>
    </row>
    <row r="191" spans="6:10">
      <c r="F191" t="s">
        <v>1094</v>
      </c>
      <c r="G191" s="3"/>
      <c r="H191" s="3"/>
      <c r="I191" s="3">
        <v>1</v>
      </c>
      <c r="J191" s="3">
        <v>1</v>
      </c>
    </row>
    <row r="192" spans="6:10">
      <c r="F192" t="s">
        <v>1015</v>
      </c>
      <c r="G192" s="3"/>
      <c r="H192" s="3"/>
      <c r="I192" s="3">
        <v>1</v>
      </c>
      <c r="J192" s="3">
        <v>1</v>
      </c>
    </row>
    <row r="193" spans="6:10">
      <c r="F193" t="s">
        <v>1099</v>
      </c>
      <c r="G193" s="3"/>
      <c r="H193" s="3"/>
      <c r="I193" s="3">
        <v>2</v>
      </c>
      <c r="J193" s="3">
        <v>2</v>
      </c>
    </row>
    <row r="194" spans="6:10">
      <c r="F194" t="s">
        <v>1429</v>
      </c>
      <c r="G194" s="3">
        <v>1</v>
      </c>
      <c r="H194" s="3"/>
      <c r="I194" s="3"/>
      <c r="J194" s="3">
        <v>1</v>
      </c>
    </row>
    <row r="195" spans="6:10">
      <c r="F195" t="s">
        <v>1332</v>
      </c>
      <c r="G195" s="3"/>
      <c r="H195" s="3"/>
      <c r="I195" s="3">
        <v>1</v>
      </c>
      <c r="J195" s="3">
        <v>1</v>
      </c>
    </row>
    <row r="196" spans="6:10">
      <c r="F196" t="s">
        <v>1079</v>
      </c>
      <c r="G196" s="3"/>
      <c r="H196" s="3"/>
      <c r="I196" s="3">
        <v>1</v>
      </c>
      <c r="J196" s="3">
        <v>1</v>
      </c>
    </row>
    <row r="197" spans="6:10">
      <c r="F197" t="s">
        <v>1129</v>
      </c>
      <c r="G197" s="3"/>
      <c r="H197" s="3"/>
      <c r="I197" s="3">
        <v>1</v>
      </c>
      <c r="J197" s="3">
        <v>1</v>
      </c>
    </row>
    <row r="198" spans="6:10">
      <c r="F198" t="s">
        <v>1282</v>
      </c>
      <c r="G198" s="3"/>
      <c r="H198" s="3"/>
      <c r="I198" s="3">
        <v>1</v>
      </c>
      <c r="J198" s="3">
        <v>1</v>
      </c>
    </row>
    <row r="199" spans="6:10">
      <c r="F199" t="s">
        <v>1264</v>
      </c>
      <c r="G199" s="3"/>
      <c r="H199" s="3"/>
      <c r="I199" s="3">
        <v>1</v>
      </c>
      <c r="J199" s="3">
        <v>1</v>
      </c>
    </row>
    <row r="200" spans="6:10">
      <c r="F200" t="s">
        <v>1195</v>
      </c>
      <c r="G200" s="3"/>
      <c r="H200" s="3"/>
      <c r="I200" s="3">
        <v>1</v>
      </c>
      <c r="J200" s="3">
        <v>1</v>
      </c>
    </row>
    <row r="201" spans="6:10">
      <c r="F201" t="s">
        <v>1134</v>
      </c>
      <c r="G201" s="3"/>
      <c r="H201" s="3"/>
      <c r="I201" s="3">
        <v>2</v>
      </c>
      <c r="J201" s="3">
        <v>2</v>
      </c>
    </row>
    <row r="202" spans="6:10">
      <c r="F202" t="s">
        <v>1535</v>
      </c>
      <c r="G202" s="3"/>
      <c r="H202" s="3">
        <v>1</v>
      </c>
      <c r="I202" s="3"/>
      <c r="J202" s="3">
        <v>1</v>
      </c>
    </row>
    <row r="203" spans="6:10">
      <c r="F203" t="s">
        <v>1146</v>
      </c>
      <c r="G203" s="3"/>
      <c r="H203" s="3"/>
      <c r="I203" s="3">
        <v>1</v>
      </c>
      <c r="J203" s="3">
        <v>1</v>
      </c>
    </row>
    <row r="204" spans="6:10">
      <c r="F204" t="s">
        <v>1278</v>
      </c>
      <c r="G204" s="3"/>
      <c r="H204" s="3"/>
      <c r="I204" s="3">
        <v>1</v>
      </c>
      <c r="J204" s="3">
        <v>1</v>
      </c>
    </row>
    <row r="205" spans="6:10">
      <c r="F205" t="s">
        <v>1241</v>
      </c>
      <c r="G205" s="3"/>
      <c r="H205" s="3">
        <v>1</v>
      </c>
      <c r="I205" s="3"/>
      <c r="J205" s="3">
        <v>1</v>
      </c>
    </row>
    <row r="206" spans="6:10">
      <c r="F206" t="s">
        <v>1300</v>
      </c>
      <c r="G206" s="3"/>
      <c r="H206" s="3"/>
      <c r="I206" s="3">
        <v>1</v>
      </c>
      <c r="J206" s="3">
        <v>1</v>
      </c>
    </row>
    <row r="207" spans="6:10">
      <c r="F207" t="s">
        <v>1311</v>
      </c>
      <c r="G207" s="3"/>
      <c r="H207" s="3"/>
      <c r="I207" s="3">
        <v>1</v>
      </c>
      <c r="J207" s="3">
        <v>1</v>
      </c>
    </row>
    <row r="208" spans="6:10">
      <c r="F208" t="s">
        <v>1316</v>
      </c>
      <c r="G208" s="3"/>
      <c r="H208" s="3"/>
      <c r="I208" s="3">
        <v>1</v>
      </c>
      <c r="J208" s="3">
        <v>1</v>
      </c>
    </row>
    <row r="209" spans="6:10">
      <c r="F209" t="s">
        <v>1321</v>
      </c>
      <c r="G209" s="3"/>
      <c r="H209" s="3">
        <v>1</v>
      </c>
      <c r="I209" s="3"/>
      <c r="J209" s="3">
        <v>1</v>
      </c>
    </row>
    <row r="210" spans="6:10">
      <c r="F210" t="s">
        <v>1343</v>
      </c>
      <c r="G210" s="3"/>
      <c r="H210" s="3"/>
      <c r="I210" s="3">
        <v>1</v>
      </c>
      <c r="J210" s="3">
        <v>1</v>
      </c>
    </row>
    <row r="211" spans="6:10">
      <c r="F211" t="s">
        <v>1380</v>
      </c>
      <c r="G211" s="3"/>
      <c r="H211" s="3"/>
      <c r="I211" s="3">
        <v>1</v>
      </c>
      <c r="J211" s="3">
        <v>1</v>
      </c>
    </row>
    <row r="212" spans="6:10">
      <c r="F212" t="s">
        <v>1438</v>
      </c>
      <c r="G212" s="3"/>
      <c r="H212" s="3"/>
      <c r="I212" s="3">
        <v>1</v>
      </c>
      <c r="J212" s="3">
        <v>1</v>
      </c>
    </row>
    <row r="213" spans="6:10">
      <c r="F213" t="s">
        <v>1422</v>
      </c>
      <c r="G213" s="3"/>
      <c r="H213" s="3"/>
      <c r="I213" s="3">
        <v>1</v>
      </c>
      <c r="J213" s="3">
        <v>1</v>
      </c>
    </row>
    <row r="214" spans="6:10">
      <c r="F214" t="s">
        <v>1406</v>
      </c>
      <c r="G214" s="3"/>
      <c r="H214" s="3">
        <v>1</v>
      </c>
      <c r="I214" s="3"/>
      <c r="J214" s="3">
        <v>1</v>
      </c>
    </row>
    <row r="215" spans="6:10">
      <c r="F215" t="s">
        <v>1395</v>
      </c>
      <c r="G215" s="3">
        <v>5</v>
      </c>
      <c r="H215" s="3"/>
      <c r="I215" s="3"/>
      <c r="J215" s="3">
        <v>5</v>
      </c>
    </row>
    <row r="216" spans="6:10">
      <c r="F216" t="s">
        <v>1477</v>
      </c>
      <c r="G216" s="3"/>
      <c r="H216" s="3">
        <v>1</v>
      </c>
      <c r="I216" s="3">
        <v>2</v>
      </c>
      <c r="J216" s="3">
        <v>3</v>
      </c>
    </row>
    <row r="217" spans="6:10">
      <c r="F217" t="s">
        <v>1554</v>
      </c>
      <c r="G217" s="3"/>
      <c r="H217" s="3"/>
      <c r="I217" s="3">
        <v>1</v>
      </c>
      <c r="J217" s="3">
        <v>1</v>
      </c>
    </row>
    <row r="218" spans="6:10">
      <c r="F218" t="s">
        <v>1433</v>
      </c>
      <c r="G218" s="3"/>
      <c r="H218" s="3"/>
      <c r="I218" s="3">
        <v>1</v>
      </c>
      <c r="J218" s="3">
        <v>1</v>
      </c>
    </row>
    <row r="219" spans="6:10">
      <c r="F219" t="s">
        <v>1544</v>
      </c>
      <c r="G219" s="3"/>
      <c r="H219" s="3"/>
      <c r="I219" s="3">
        <v>1</v>
      </c>
      <c r="J219" s="3">
        <v>1</v>
      </c>
    </row>
    <row r="220" spans="6:10">
      <c r="F220" t="s">
        <v>1549</v>
      </c>
      <c r="G220" s="3"/>
      <c r="H220" s="3"/>
      <c r="I220" s="3">
        <v>1</v>
      </c>
      <c r="J220" s="3">
        <v>1</v>
      </c>
    </row>
    <row r="221" spans="6:10">
      <c r="F221" t="s">
        <v>1472</v>
      </c>
      <c r="G221" s="3"/>
      <c r="H221" s="3"/>
      <c r="I221" s="3">
        <v>2</v>
      </c>
      <c r="J221" s="3">
        <v>2</v>
      </c>
    </row>
    <row r="222" spans="6:10">
      <c r="F222" t="s">
        <v>1586</v>
      </c>
      <c r="G222" s="3"/>
      <c r="H222" s="3">
        <v>1</v>
      </c>
      <c r="I222" s="3"/>
      <c r="J222" s="3">
        <v>1</v>
      </c>
    </row>
    <row r="223" spans="6:10">
      <c r="F223" t="s">
        <v>1454</v>
      </c>
      <c r="G223" s="3"/>
      <c r="H223" s="3"/>
      <c r="I223" s="3">
        <v>1</v>
      </c>
      <c r="J223" s="3">
        <v>1</v>
      </c>
    </row>
    <row r="224" spans="6:10">
      <c r="F224" t="s">
        <v>1573</v>
      </c>
      <c r="G224" s="3"/>
      <c r="H224" s="3"/>
      <c r="I224" s="3">
        <v>3</v>
      </c>
      <c r="J224" s="3">
        <v>3</v>
      </c>
    </row>
    <row r="225" spans="6:10">
      <c r="F225" t="s">
        <v>1580</v>
      </c>
      <c r="G225" s="3"/>
      <c r="H225" s="3"/>
      <c r="I225" s="3">
        <v>1</v>
      </c>
      <c r="J225" s="3">
        <v>1</v>
      </c>
    </row>
    <row r="226" spans="6:10">
      <c r="F226" t="s">
        <v>1608</v>
      </c>
      <c r="G226" s="3"/>
      <c r="H226" s="3"/>
      <c r="I226" s="3">
        <v>1</v>
      </c>
      <c r="J226" s="3">
        <v>1</v>
      </c>
    </row>
    <row r="227" spans="6:10">
      <c r="F227" t="s">
        <v>1711</v>
      </c>
      <c r="G227" s="3"/>
      <c r="H227" s="3">
        <v>1</v>
      </c>
      <c r="I227" s="3"/>
      <c r="J227" s="3">
        <v>1</v>
      </c>
    </row>
    <row r="228" spans="6:10">
      <c r="F228" t="s">
        <v>1596</v>
      </c>
      <c r="G228" s="3"/>
      <c r="H228" s="3"/>
      <c r="I228" s="3">
        <v>1</v>
      </c>
      <c r="J228" s="3">
        <v>1</v>
      </c>
    </row>
    <row r="229" spans="6:10">
      <c r="F229" t="s">
        <v>1673</v>
      </c>
      <c r="G229" s="3"/>
      <c r="H229" s="3">
        <v>1</v>
      </c>
      <c r="I229" s="3"/>
      <c r="J229" s="3">
        <v>1</v>
      </c>
    </row>
    <row r="230" spans="6:10">
      <c r="F230" t="s">
        <v>1564</v>
      </c>
      <c r="G230" s="3"/>
      <c r="H230" s="3">
        <v>1</v>
      </c>
      <c r="I230" s="3"/>
      <c r="J230" s="3">
        <v>1</v>
      </c>
    </row>
    <row r="231" spans="6:10">
      <c r="F231" t="s">
        <v>1698</v>
      </c>
      <c r="G231" s="3"/>
      <c r="H231" s="3">
        <v>1</v>
      </c>
      <c r="I231" s="3"/>
      <c r="J231" s="3">
        <v>1</v>
      </c>
    </row>
    <row r="232" spans="6:10">
      <c r="F232" t="s">
        <v>120</v>
      </c>
      <c r="G232" s="3">
        <v>1</v>
      </c>
      <c r="H232" s="3"/>
      <c r="I232" s="3"/>
      <c r="J232" s="3">
        <v>1</v>
      </c>
    </row>
    <row r="233" spans="6:10">
      <c r="F233" t="s">
        <v>34</v>
      </c>
      <c r="G233" s="3">
        <v>1</v>
      </c>
      <c r="H233" s="3">
        <v>10</v>
      </c>
      <c r="I233" s="3">
        <v>28</v>
      </c>
      <c r="J233" s="3">
        <v>39</v>
      </c>
    </row>
    <row r="234" spans="6:10">
      <c r="F234" t="s">
        <v>372</v>
      </c>
      <c r="G234" s="3"/>
      <c r="H234" s="3"/>
      <c r="I234" s="3">
        <v>1</v>
      </c>
      <c r="J234" s="3">
        <v>1</v>
      </c>
    </row>
    <row r="235" spans="6:10">
      <c r="F235" t="s">
        <v>175</v>
      </c>
      <c r="G235" s="3"/>
      <c r="H235" s="3"/>
      <c r="I235" s="3">
        <v>1</v>
      </c>
      <c r="J235" s="3">
        <v>1</v>
      </c>
    </row>
    <row r="236" spans="6:10">
      <c r="F236" t="s">
        <v>133</v>
      </c>
      <c r="G236" s="3"/>
      <c r="H236" s="3"/>
      <c r="I236" s="3">
        <v>1</v>
      </c>
      <c r="J236" s="3">
        <v>1</v>
      </c>
    </row>
    <row r="237" spans="6:10">
      <c r="F237" t="s">
        <v>302</v>
      </c>
      <c r="G237" s="3"/>
      <c r="H237" s="3"/>
      <c r="I237" s="3">
        <v>1</v>
      </c>
      <c r="J237" s="3">
        <v>1</v>
      </c>
    </row>
    <row r="238" spans="6:10">
      <c r="F238" t="s">
        <v>464</v>
      </c>
      <c r="G238" s="3">
        <v>9</v>
      </c>
      <c r="H238" s="3"/>
      <c r="I238" s="3"/>
      <c r="J238" s="3">
        <v>9</v>
      </c>
    </row>
    <row r="239" spans="6:10">
      <c r="F239" t="s">
        <v>291</v>
      </c>
      <c r="G239" s="3"/>
      <c r="H239" s="3"/>
      <c r="I239" s="3">
        <v>1</v>
      </c>
      <c r="J239" s="3">
        <v>1</v>
      </c>
    </row>
    <row r="240" spans="6:10">
      <c r="F240" t="s">
        <v>194</v>
      </c>
      <c r="G240" s="3"/>
      <c r="H240" s="3">
        <v>1</v>
      </c>
      <c r="I240" s="3">
        <v>1</v>
      </c>
      <c r="J240" s="3">
        <v>2</v>
      </c>
    </row>
    <row r="241" spans="6:10">
      <c r="F241" t="s">
        <v>591</v>
      </c>
      <c r="G241" s="3">
        <v>3</v>
      </c>
      <c r="H241" s="3"/>
      <c r="I241" s="3"/>
      <c r="J241" s="3">
        <v>3</v>
      </c>
    </row>
    <row r="242" spans="6:10">
      <c r="F242" t="s">
        <v>714</v>
      </c>
      <c r="G242" s="3">
        <v>5</v>
      </c>
      <c r="H242" s="3"/>
      <c r="I242" s="3"/>
      <c r="J242" s="3">
        <v>5</v>
      </c>
    </row>
    <row r="243" spans="6:10">
      <c r="F243" t="s">
        <v>479</v>
      </c>
      <c r="G243" s="3"/>
      <c r="H243" s="3"/>
      <c r="I243" s="3">
        <v>1</v>
      </c>
      <c r="J243" s="3">
        <v>1</v>
      </c>
    </row>
    <row r="244" spans="6:10">
      <c r="F244" t="s">
        <v>438</v>
      </c>
      <c r="G244" s="3"/>
      <c r="H244" s="3"/>
      <c r="I244" s="3">
        <v>1</v>
      </c>
      <c r="J244" s="3">
        <v>1</v>
      </c>
    </row>
    <row r="245" spans="6:10">
      <c r="F245" t="s">
        <v>524</v>
      </c>
      <c r="G245" s="3"/>
      <c r="H245" s="3"/>
      <c r="I245" s="3">
        <v>1</v>
      </c>
      <c r="J245" s="3">
        <v>1</v>
      </c>
    </row>
    <row r="246" spans="6:10">
      <c r="F246" t="s">
        <v>534</v>
      </c>
      <c r="G246" s="3"/>
      <c r="H246" s="3"/>
      <c r="I246" s="3">
        <v>1</v>
      </c>
      <c r="J246" s="3">
        <v>1</v>
      </c>
    </row>
    <row r="247" spans="6:10">
      <c r="F247" t="s">
        <v>1025</v>
      </c>
      <c r="G247" s="3"/>
      <c r="H247" s="3"/>
      <c r="I247" s="3">
        <v>1</v>
      </c>
      <c r="J247" s="3">
        <v>1</v>
      </c>
    </row>
    <row r="248" spans="6:10">
      <c r="F248" t="s">
        <v>1209</v>
      </c>
      <c r="G248" s="3"/>
      <c r="H248" s="3"/>
      <c r="I248" s="3">
        <v>1</v>
      </c>
      <c r="J248" s="3">
        <v>1</v>
      </c>
    </row>
    <row r="249" spans="6:10">
      <c r="F249" t="s">
        <v>1258</v>
      </c>
      <c r="G249" s="3">
        <v>1</v>
      </c>
      <c r="H249" s="3"/>
      <c r="I249" s="3"/>
      <c r="J249" s="3">
        <v>1</v>
      </c>
    </row>
    <row r="250" spans="6:10">
      <c r="F250" t="s">
        <v>1085</v>
      </c>
      <c r="G250" s="3"/>
      <c r="H250" s="3">
        <v>1</v>
      </c>
      <c r="I250" s="3"/>
      <c r="J250" s="3">
        <v>1</v>
      </c>
    </row>
    <row r="251" spans="6:10">
      <c r="F251" t="s">
        <v>1354</v>
      </c>
      <c r="G251" s="3"/>
      <c r="H251" s="3"/>
      <c r="I251" s="3">
        <v>1</v>
      </c>
      <c r="J251" s="3">
        <v>1</v>
      </c>
    </row>
    <row r="252" spans="6:10">
      <c r="F252" t="s">
        <v>1385</v>
      </c>
      <c r="G252" s="3"/>
      <c r="H252" s="3">
        <v>1</v>
      </c>
      <c r="I252" s="3">
        <v>1</v>
      </c>
      <c r="J252" s="3">
        <v>2</v>
      </c>
    </row>
    <row r="253" spans="6:10">
      <c r="F253" t="s">
        <v>1487</v>
      </c>
      <c r="G253" s="3"/>
      <c r="H253" s="3">
        <v>1</v>
      </c>
      <c r="I253" s="3"/>
      <c r="J253" s="3">
        <v>1</v>
      </c>
    </row>
    <row r="254" spans="6:10">
      <c r="F254" t="s">
        <v>1462</v>
      </c>
      <c r="G254" s="3"/>
      <c r="H254" s="3">
        <v>2</v>
      </c>
      <c r="I254" s="3"/>
      <c r="J254" s="3">
        <v>2</v>
      </c>
    </row>
    <row r="255" spans="6:10">
      <c r="F255" t="s">
        <v>1498</v>
      </c>
      <c r="G255" s="3"/>
      <c r="H255" s="3">
        <v>5</v>
      </c>
      <c r="I255" s="3"/>
      <c r="J255" s="3">
        <v>5</v>
      </c>
    </row>
    <row r="256" spans="6:10">
      <c r="F256" t="s">
        <v>1703</v>
      </c>
      <c r="G256" s="3"/>
      <c r="H256" s="3">
        <v>1</v>
      </c>
      <c r="I256" s="3"/>
      <c r="J256" s="3">
        <v>1</v>
      </c>
    </row>
    <row r="257" spans="5:10">
      <c r="F257" t="s">
        <v>244</v>
      </c>
      <c r="G257" s="3"/>
      <c r="H257" s="3"/>
      <c r="I257" s="3">
        <v>1</v>
      </c>
      <c r="J257" s="3">
        <v>1</v>
      </c>
    </row>
    <row r="258" spans="5:10">
      <c r="F258" t="s">
        <v>113</v>
      </c>
      <c r="G258" s="3">
        <v>1</v>
      </c>
      <c r="H258" s="3">
        <v>1</v>
      </c>
      <c r="I258" s="3">
        <v>3</v>
      </c>
      <c r="J258" s="3">
        <v>5</v>
      </c>
    </row>
    <row r="259" spans="5:10">
      <c r="E259" t="s">
        <v>1736</v>
      </c>
      <c r="G259" s="3">
        <v>47</v>
      </c>
      <c r="H259" s="3">
        <v>88</v>
      </c>
      <c r="I259" s="3">
        <v>244</v>
      </c>
      <c r="J259" s="3">
        <v>379</v>
      </c>
    </row>
    <row r="260" spans="5:10">
      <c r="E260" t="s">
        <v>1735</v>
      </c>
      <c r="G260" s="3">
        <v>47</v>
      </c>
      <c r="H260" s="3">
        <v>88</v>
      </c>
      <c r="I260" s="3">
        <v>244</v>
      </c>
      <c r="J260" s="3">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2EE3-000F-44A4-BDE8-4BFF8EF086F8}">
  <dimension ref="D1:F736"/>
  <sheetViews>
    <sheetView workbookViewId="0">
      <selection activeCell="D1" sqref="D1:F736"/>
    </sheetView>
  </sheetViews>
  <sheetFormatPr defaultRowHeight="15"/>
  <cols>
    <col min="4" max="4" width="132.7109375" bestFit="1" customWidth="1"/>
    <col min="5" max="5" width="17.140625" bestFit="1" customWidth="1"/>
    <col min="6" max="6" width="15.140625" bestFit="1" customWidth="1"/>
  </cols>
  <sheetData>
    <row r="1" spans="4:6">
      <c r="D1" s="2" t="s">
        <v>7</v>
      </c>
      <c r="E1" s="2" t="s">
        <v>11</v>
      </c>
      <c r="F1" t="s">
        <v>1737</v>
      </c>
    </row>
    <row r="2" spans="4:6">
      <c r="D2" t="s">
        <v>1579</v>
      </c>
      <c r="E2" t="s">
        <v>1732</v>
      </c>
      <c r="F2" s="3">
        <v>1</v>
      </c>
    </row>
    <row r="3" spans="4:6">
      <c r="D3" t="s">
        <v>1738</v>
      </c>
      <c r="F3" s="3">
        <v>1</v>
      </c>
    </row>
    <row r="4" spans="4:6">
      <c r="D4" t="s">
        <v>1626</v>
      </c>
      <c r="E4" t="s">
        <v>1739</v>
      </c>
      <c r="F4" s="3">
        <v>1</v>
      </c>
    </row>
    <row r="5" spans="4:6">
      <c r="D5" t="s">
        <v>1740</v>
      </c>
      <c r="F5" s="3">
        <v>1</v>
      </c>
    </row>
    <row r="6" spans="4:6">
      <c r="D6" t="s">
        <v>1656</v>
      </c>
      <c r="E6" t="s">
        <v>1732</v>
      </c>
      <c r="F6" s="3">
        <v>1</v>
      </c>
    </row>
    <row r="7" spans="4:6">
      <c r="D7" t="s">
        <v>1741</v>
      </c>
      <c r="F7" s="3">
        <v>1</v>
      </c>
    </row>
    <row r="8" spans="4:6">
      <c r="D8" t="s">
        <v>1707</v>
      </c>
      <c r="E8" t="s">
        <v>1732</v>
      </c>
      <c r="F8" s="3">
        <v>1</v>
      </c>
    </row>
    <row r="9" spans="4:6">
      <c r="D9" t="s">
        <v>1742</v>
      </c>
      <c r="F9" s="3">
        <v>1</v>
      </c>
    </row>
    <row r="10" spans="4:6">
      <c r="D10" t="s">
        <v>1353</v>
      </c>
      <c r="E10" t="s">
        <v>1743</v>
      </c>
      <c r="F10" s="3">
        <v>1</v>
      </c>
    </row>
    <row r="11" spans="4:6">
      <c r="D11" t="s">
        <v>1744</v>
      </c>
      <c r="F11" s="3">
        <v>1</v>
      </c>
    </row>
    <row r="12" spans="4:6">
      <c r="D12" t="s">
        <v>1553</v>
      </c>
      <c r="E12" t="s">
        <v>1732</v>
      </c>
      <c r="F12" s="3">
        <v>1</v>
      </c>
    </row>
    <row r="13" spans="4:6">
      <c r="D13" t="s">
        <v>1745</v>
      </c>
      <c r="F13" s="3">
        <v>1</v>
      </c>
    </row>
    <row r="14" spans="4:6">
      <c r="D14" t="s">
        <v>1257</v>
      </c>
      <c r="E14" t="s">
        <v>1746</v>
      </c>
      <c r="F14" s="3">
        <v>1</v>
      </c>
    </row>
    <row r="15" spans="4:6">
      <c r="D15" t="s">
        <v>1747</v>
      </c>
      <c r="F15" s="3">
        <v>1</v>
      </c>
    </row>
    <row r="16" spans="4:6">
      <c r="D16" t="s">
        <v>1428</v>
      </c>
      <c r="E16" t="s">
        <v>1748</v>
      </c>
      <c r="F16" s="3">
        <v>1</v>
      </c>
    </row>
    <row r="17" spans="4:6">
      <c r="D17" t="s">
        <v>1749</v>
      </c>
      <c r="F17" s="3">
        <v>1</v>
      </c>
    </row>
    <row r="18" spans="4:6">
      <c r="D18" t="s">
        <v>238</v>
      </c>
      <c r="E18" t="s">
        <v>1750</v>
      </c>
      <c r="F18" s="3">
        <v>1</v>
      </c>
    </row>
    <row r="19" spans="4:6">
      <c r="D19" t="s">
        <v>1751</v>
      </c>
      <c r="F19" s="3">
        <v>1</v>
      </c>
    </row>
    <row r="20" spans="4:6">
      <c r="D20" t="s">
        <v>1154</v>
      </c>
      <c r="E20" t="s">
        <v>1752</v>
      </c>
      <c r="F20" s="3">
        <v>1</v>
      </c>
    </row>
    <row r="21" spans="4:6">
      <c r="D21" t="s">
        <v>1753</v>
      </c>
      <c r="F21" s="3">
        <v>1</v>
      </c>
    </row>
    <row r="22" spans="4:6">
      <c r="D22" t="s">
        <v>1677</v>
      </c>
      <c r="E22" t="s">
        <v>1732</v>
      </c>
      <c r="F22" s="3">
        <v>1</v>
      </c>
    </row>
    <row r="23" spans="4:6">
      <c r="D23" t="s">
        <v>1754</v>
      </c>
      <c r="F23" s="3">
        <v>1</v>
      </c>
    </row>
    <row r="24" spans="4:6">
      <c r="D24" t="s">
        <v>655</v>
      </c>
      <c r="E24" t="s">
        <v>1732</v>
      </c>
      <c r="F24" s="3">
        <v>1</v>
      </c>
    </row>
    <row r="25" spans="4:6">
      <c r="D25" t="s">
        <v>1755</v>
      </c>
      <c r="F25" s="3">
        <v>1</v>
      </c>
    </row>
    <row r="26" spans="4:6">
      <c r="D26" t="s">
        <v>801</v>
      </c>
      <c r="E26" t="s">
        <v>1732</v>
      </c>
      <c r="F26" s="3">
        <v>1</v>
      </c>
    </row>
    <row r="27" spans="4:6">
      <c r="D27" t="s">
        <v>1756</v>
      </c>
      <c r="F27" s="3">
        <v>1</v>
      </c>
    </row>
    <row r="28" spans="4:6">
      <c r="D28" t="s">
        <v>1416</v>
      </c>
      <c r="E28" t="s">
        <v>1732</v>
      </c>
      <c r="F28" s="3">
        <v>1</v>
      </c>
    </row>
    <row r="29" spans="4:6">
      <c r="D29" t="s">
        <v>1757</v>
      </c>
      <c r="F29" s="3">
        <v>1</v>
      </c>
    </row>
    <row r="30" spans="4:6">
      <c r="D30" t="s">
        <v>742</v>
      </c>
      <c r="E30" t="s">
        <v>1758</v>
      </c>
      <c r="F30" s="3">
        <v>1</v>
      </c>
    </row>
    <row r="31" spans="4:6">
      <c r="D31" t="s">
        <v>1759</v>
      </c>
      <c r="F31" s="3">
        <v>1</v>
      </c>
    </row>
    <row r="32" spans="4:6">
      <c r="D32" t="s">
        <v>897</v>
      </c>
      <c r="E32" t="s">
        <v>1760</v>
      </c>
      <c r="F32" s="3">
        <v>1</v>
      </c>
    </row>
    <row r="33" spans="4:6">
      <c r="D33" t="s">
        <v>1761</v>
      </c>
      <c r="F33" s="3">
        <v>1</v>
      </c>
    </row>
    <row r="34" spans="4:6">
      <c r="D34" t="s">
        <v>182</v>
      </c>
      <c r="E34" t="s">
        <v>1732</v>
      </c>
      <c r="F34" s="3">
        <v>1</v>
      </c>
    </row>
    <row r="35" spans="4:6">
      <c r="D35" t="s">
        <v>1762</v>
      </c>
      <c r="F35" s="3">
        <v>1</v>
      </c>
    </row>
    <row r="36" spans="4:6">
      <c r="D36" t="s">
        <v>1448</v>
      </c>
      <c r="E36" t="s">
        <v>1763</v>
      </c>
      <c r="F36" s="3">
        <v>1</v>
      </c>
    </row>
    <row r="37" spans="4:6">
      <c r="D37" t="s">
        <v>1764</v>
      </c>
      <c r="F37" s="3">
        <v>1</v>
      </c>
    </row>
    <row r="38" spans="4:6">
      <c r="D38" t="s">
        <v>1461</v>
      </c>
      <c r="E38" t="s">
        <v>1765</v>
      </c>
      <c r="F38" s="3">
        <v>1</v>
      </c>
    </row>
    <row r="39" spans="4:6">
      <c r="D39" t="s">
        <v>1766</v>
      </c>
      <c r="F39" s="3">
        <v>1</v>
      </c>
    </row>
    <row r="40" spans="4:6">
      <c r="D40" t="s">
        <v>1466</v>
      </c>
      <c r="E40" t="s">
        <v>1732</v>
      </c>
      <c r="F40" s="3">
        <v>1</v>
      </c>
    </row>
    <row r="41" spans="4:6">
      <c r="D41" t="s">
        <v>1767</v>
      </c>
      <c r="F41" s="3">
        <v>1</v>
      </c>
    </row>
    <row r="42" spans="4:6">
      <c r="D42" t="s">
        <v>1497</v>
      </c>
      <c r="E42" t="s">
        <v>1732</v>
      </c>
      <c r="F42" s="3">
        <v>1</v>
      </c>
    </row>
    <row r="43" spans="4:6">
      <c r="D43" t="s">
        <v>1768</v>
      </c>
      <c r="F43" s="3">
        <v>1</v>
      </c>
    </row>
    <row r="44" spans="4:6">
      <c r="D44" t="s">
        <v>1531</v>
      </c>
      <c r="E44" t="s">
        <v>1732</v>
      </c>
      <c r="F44" s="3">
        <v>1</v>
      </c>
    </row>
    <row r="45" spans="4:6">
      <c r="D45" t="s">
        <v>1769</v>
      </c>
      <c r="F45" s="3">
        <v>1</v>
      </c>
    </row>
    <row r="46" spans="4:6">
      <c r="D46" t="s">
        <v>1559</v>
      </c>
      <c r="E46" t="s">
        <v>1732</v>
      </c>
      <c r="F46" s="3">
        <v>1</v>
      </c>
    </row>
    <row r="47" spans="4:6">
      <c r="D47" t="s">
        <v>1770</v>
      </c>
      <c r="F47" s="3">
        <v>1</v>
      </c>
    </row>
    <row r="48" spans="4:6">
      <c r="D48" t="s">
        <v>1591</v>
      </c>
      <c r="E48" t="s">
        <v>1732</v>
      </c>
      <c r="F48" s="3">
        <v>1</v>
      </c>
    </row>
    <row r="49" spans="4:6">
      <c r="D49" t="s">
        <v>1771</v>
      </c>
      <c r="F49" s="3">
        <v>1</v>
      </c>
    </row>
    <row r="50" spans="4:6">
      <c r="D50" t="s">
        <v>1617</v>
      </c>
      <c r="E50" t="s">
        <v>1732</v>
      </c>
      <c r="F50" s="3">
        <v>1</v>
      </c>
    </row>
    <row r="51" spans="4:6">
      <c r="D51" t="s">
        <v>1772</v>
      </c>
      <c r="F51" s="3">
        <v>1</v>
      </c>
    </row>
    <row r="52" spans="4:6">
      <c r="D52" t="s">
        <v>1645</v>
      </c>
      <c r="E52" t="s">
        <v>1732</v>
      </c>
      <c r="F52" s="3">
        <v>1</v>
      </c>
    </row>
    <row r="53" spans="4:6">
      <c r="D53" t="s">
        <v>1773</v>
      </c>
      <c r="F53" s="3">
        <v>1</v>
      </c>
    </row>
    <row r="54" spans="4:6">
      <c r="D54" t="s">
        <v>1669</v>
      </c>
      <c r="E54" t="s">
        <v>1732</v>
      </c>
      <c r="F54" s="3">
        <v>1</v>
      </c>
    </row>
    <row r="55" spans="4:6">
      <c r="D55" t="s">
        <v>1774</v>
      </c>
      <c r="F55" s="3">
        <v>1</v>
      </c>
    </row>
    <row r="56" spans="4:6">
      <c r="D56" t="s">
        <v>1689</v>
      </c>
      <c r="E56" t="s">
        <v>1732</v>
      </c>
      <c r="F56" s="3">
        <v>1</v>
      </c>
    </row>
    <row r="57" spans="4:6">
      <c r="D57" t="s">
        <v>1775</v>
      </c>
      <c r="F57" s="3">
        <v>1</v>
      </c>
    </row>
    <row r="58" spans="4:6">
      <c r="D58" t="s">
        <v>1702</v>
      </c>
      <c r="E58" t="s">
        <v>1732</v>
      </c>
      <c r="F58" s="3">
        <v>1</v>
      </c>
    </row>
    <row r="59" spans="4:6">
      <c r="D59" t="s">
        <v>1776</v>
      </c>
      <c r="F59" s="3">
        <v>1</v>
      </c>
    </row>
    <row r="60" spans="4:6">
      <c r="D60" t="s">
        <v>967</v>
      </c>
      <c r="E60" t="s">
        <v>1777</v>
      </c>
      <c r="F60" s="3">
        <v>1</v>
      </c>
    </row>
    <row r="61" spans="4:6">
      <c r="D61" t="s">
        <v>1778</v>
      </c>
      <c r="F61" s="3">
        <v>1</v>
      </c>
    </row>
    <row r="62" spans="4:6">
      <c r="D62" t="s">
        <v>729</v>
      </c>
      <c r="E62" t="s">
        <v>1779</v>
      </c>
      <c r="F62" s="3">
        <v>1</v>
      </c>
    </row>
    <row r="63" spans="4:6">
      <c r="D63" t="s">
        <v>1780</v>
      </c>
      <c r="F63" s="3">
        <v>1</v>
      </c>
    </row>
    <row r="64" spans="4:6">
      <c r="D64" t="s">
        <v>1158</v>
      </c>
      <c r="E64" t="s">
        <v>1732</v>
      </c>
      <c r="F64" s="3">
        <v>1</v>
      </c>
    </row>
    <row r="65" spans="4:6">
      <c r="D65" t="s">
        <v>1781</v>
      </c>
      <c r="F65" s="3">
        <v>1</v>
      </c>
    </row>
    <row r="66" spans="4:6">
      <c r="D66" t="s">
        <v>420</v>
      </c>
      <c r="E66" t="s">
        <v>1782</v>
      </c>
      <c r="F66" s="3">
        <v>1</v>
      </c>
    </row>
    <row r="67" spans="4:6">
      <c r="D67" t="s">
        <v>1783</v>
      </c>
      <c r="F67" s="3">
        <v>1</v>
      </c>
    </row>
    <row r="68" spans="4:6">
      <c r="D68" t="s">
        <v>22</v>
      </c>
      <c r="E68" t="s">
        <v>1732</v>
      </c>
      <c r="F68" s="3">
        <v>1</v>
      </c>
    </row>
    <row r="69" spans="4:6">
      <c r="D69" t="s">
        <v>1784</v>
      </c>
      <c r="F69" s="3">
        <v>1</v>
      </c>
    </row>
    <row r="70" spans="4:6">
      <c r="D70" t="s">
        <v>27</v>
      </c>
      <c r="E70" t="s">
        <v>1732</v>
      </c>
      <c r="F70" s="3">
        <v>1</v>
      </c>
    </row>
    <row r="71" spans="4:6">
      <c r="D71" t="s">
        <v>1785</v>
      </c>
      <c r="F71" s="3">
        <v>1</v>
      </c>
    </row>
    <row r="72" spans="4:6">
      <c r="D72" t="s">
        <v>1348</v>
      </c>
      <c r="E72" t="s">
        <v>1786</v>
      </c>
      <c r="F72" s="3">
        <v>1</v>
      </c>
    </row>
    <row r="73" spans="4:6">
      <c r="D73" t="s">
        <v>1787</v>
      </c>
      <c r="F73" s="3">
        <v>1</v>
      </c>
    </row>
    <row r="74" spans="4:6">
      <c r="D74" t="s">
        <v>1600</v>
      </c>
      <c r="E74" t="s">
        <v>1788</v>
      </c>
      <c r="F74" s="3">
        <v>1</v>
      </c>
    </row>
    <row r="75" spans="4:6">
      <c r="D75" t="s">
        <v>1789</v>
      </c>
      <c r="F75" s="3">
        <v>1</v>
      </c>
    </row>
    <row r="76" spans="4:6">
      <c r="D76" t="s">
        <v>1163</v>
      </c>
      <c r="E76" t="s">
        <v>1790</v>
      </c>
      <c r="F76" s="3">
        <v>1</v>
      </c>
    </row>
    <row r="77" spans="4:6">
      <c r="D77" t="s">
        <v>1791</v>
      </c>
      <c r="F77" s="3">
        <v>1</v>
      </c>
    </row>
    <row r="78" spans="4:6">
      <c r="D78" t="s">
        <v>1104</v>
      </c>
      <c r="E78" t="s">
        <v>1732</v>
      </c>
      <c r="F78" s="3">
        <v>1</v>
      </c>
    </row>
    <row r="79" spans="4:6">
      <c r="D79" t="s">
        <v>1792</v>
      </c>
      <c r="F79" s="3">
        <v>1</v>
      </c>
    </row>
    <row r="80" spans="4:6">
      <c r="D80" t="s">
        <v>1515</v>
      </c>
      <c r="E80" t="s">
        <v>1732</v>
      </c>
      <c r="F80" s="3">
        <v>1</v>
      </c>
    </row>
    <row r="81" spans="4:6">
      <c r="D81" t="s">
        <v>1793</v>
      </c>
      <c r="F81" s="3">
        <v>1</v>
      </c>
    </row>
    <row r="82" spans="4:6">
      <c r="D82" t="s">
        <v>709</v>
      </c>
      <c r="E82" t="s">
        <v>1732</v>
      </c>
      <c r="F82" s="3">
        <v>1</v>
      </c>
    </row>
    <row r="83" spans="4:6">
      <c r="D83" t="s">
        <v>1794</v>
      </c>
      <c r="F83" s="3">
        <v>1</v>
      </c>
    </row>
    <row r="84" spans="4:6">
      <c r="D84" t="s">
        <v>1285</v>
      </c>
      <c r="E84" t="s">
        <v>1732</v>
      </c>
      <c r="F84" s="3">
        <v>1</v>
      </c>
    </row>
    <row r="85" spans="4:6">
      <c r="D85" t="s">
        <v>1795</v>
      </c>
      <c r="F85" s="3">
        <v>1</v>
      </c>
    </row>
    <row r="86" spans="4:6">
      <c r="D86" t="s">
        <v>1039</v>
      </c>
      <c r="E86" t="s">
        <v>1732</v>
      </c>
      <c r="F86" s="3">
        <v>1</v>
      </c>
    </row>
    <row r="87" spans="4:6">
      <c r="D87" t="s">
        <v>1796</v>
      </c>
      <c r="F87" s="3">
        <v>1</v>
      </c>
    </row>
    <row r="88" spans="4:6">
      <c r="D88" t="s">
        <v>407</v>
      </c>
      <c r="E88" t="s">
        <v>1732</v>
      </c>
      <c r="F88" s="3">
        <v>1</v>
      </c>
    </row>
    <row r="89" spans="4:6">
      <c r="D89" t="s">
        <v>1797</v>
      </c>
      <c r="F89" s="3">
        <v>1</v>
      </c>
    </row>
    <row r="90" spans="4:6">
      <c r="D90" t="s">
        <v>1139</v>
      </c>
      <c r="E90" t="s">
        <v>1798</v>
      </c>
      <c r="F90" s="3">
        <v>1</v>
      </c>
    </row>
    <row r="91" spans="4:6">
      <c r="D91" t="s">
        <v>1799</v>
      </c>
      <c r="F91" s="3">
        <v>1</v>
      </c>
    </row>
    <row r="92" spans="4:6">
      <c r="D92" t="s">
        <v>1432</v>
      </c>
      <c r="E92" t="s">
        <v>1732</v>
      </c>
      <c r="F92" s="3">
        <v>1</v>
      </c>
    </row>
    <row r="93" spans="4:6">
      <c r="D93" t="s">
        <v>1800</v>
      </c>
      <c r="F93" s="3">
        <v>1</v>
      </c>
    </row>
    <row r="94" spans="4:6">
      <c r="D94" t="s">
        <v>1326</v>
      </c>
      <c r="E94" t="s">
        <v>1732</v>
      </c>
      <c r="F94" s="3">
        <v>1</v>
      </c>
    </row>
    <row r="95" spans="4:6">
      <c r="D95" t="s">
        <v>1801</v>
      </c>
      <c r="F95" s="3">
        <v>1</v>
      </c>
    </row>
    <row r="96" spans="4:6">
      <c r="D96" t="s">
        <v>1502</v>
      </c>
      <c r="E96" t="s">
        <v>1732</v>
      </c>
      <c r="F96" s="3">
        <v>1</v>
      </c>
    </row>
    <row r="97" spans="4:6">
      <c r="D97" t="s">
        <v>1802</v>
      </c>
      <c r="F97" s="3">
        <v>1</v>
      </c>
    </row>
    <row r="98" spans="4:6">
      <c r="D98" t="s">
        <v>1014</v>
      </c>
      <c r="E98" t="s">
        <v>1732</v>
      </c>
      <c r="F98" s="3">
        <v>1</v>
      </c>
    </row>
    <row r="99" spans="4:6">
      <c r="D99" t="s">
        <v>1803</v>
      </c>
      <c r="F99" s="3">
        <v>1</v>
      </c>
    </row>
    <row r="100" spans="4:6">
      <c r="D100" t="s">
        <v>1067</v>
      </c>
      <c r="E100" t="s">
        <v>1732</v>
      </c>
      <c r="F100" s="3">
        <v>1</v>
      </c>
    </row>
    <row r="101" spans="4:6">
      <c r="D101" t="s">
        <v>1804</v>
      </c>
      <c r="F101" s="3">
        <v>1</v>
      </c>
    </row>
    <row r="102" spans="4:6">
      <c r="D102" t="s">
        <v>486</v>
      </c>
      <c r="E102" t="s">
        <v>1732</v>
      </c>
      <c r="F102" s="3">
        <v>1</v>
      </c>
    </row>
    <row r="103" spans="4:6">
      <c r="D103" t="s">
        <v>1805</v>
      </c>
      <c r="F103" s="3">
        <v>1</v>
      </c>
    </row>
    <row r="104" spans="4:6">
      <c r="D104" t="s">
        <v>613</v>
      </c>
      <c r="E104" t="s">
        <v>1732</v>
      </c>
      <c r="F104" s="3">
        <v>1</v>
      </c>
    </row>
    <row r="105" spans="4:6">
      <c r="D105" t="s">
        <v>1806</v>
      </c>
      <c r="F105" s="3">
        <v>1</v>
      </c>
    </row>
    <row r="106" spans="4:6">
      <c r="D106" t="s">
        <v>1093</v>
      </c>
      <c r="E106" t="s">
        <v>1732</v>
      </c>
      <c r="F106" s="3">
        <v>1</v>
      </c>
    </row>
    <row r="107" spans="4:6">
      <c r="D107" t="s">
        <v>1807</v>
      </c>
      <c r="F107" s="3">
        <v>1</v>
      </c>
    </row>
    <row r="108" spans="4:6">
      <c r="D108" t="s">
        <v>174</v>
      </c>
      <c r="E108" t="s">
        <v>1808</v>
      </c>
      <c r="F108" s="3">
        <v>1</v>
      </c>
    </row>
    <row r="109" spans="4:6">
      <c r="D109" t="s">
        <v>1809</v>
      </c>
      <c r="F109" s="3">
        <v>1</v>
      </c>
    </row>
    <row r="110" spans="4:6">
      <c r="D110" t="s">
        <v>202</v>
      </c>
      <c r="E110" t="s">
        <v>1732</v>
      </c>
      <c r="F110" s="3">
        <v>1</v>
      </c>
    </row>
    <row r="111" spans="4:6">
      <c r="D111" t="s">
        <v>1810</v>
      </c>
      <c r="F111" s="3">
        <v>1</v>
      </c>
    </row>
    <row r="112" spans="4:6">
      <c r="D112" t="s">
        <v>533</v>
      </c>
      <c r="E112" t="s">
        <v>1732</v>
      </c>
      <c r="F112" s="3">
        <v>1</v>
      </c>
    </row>
    <row r="113" spans="4:6">
      <c r="D113" t="s">
        <v>1811</v>
      </c>
      <c r="F113" s="3">
        <v>1</v>
      </c>
    </row>
    <row r="114" spans="4:6">
      <c r="D114" t="s">
        <v>1299</v>
      </c>
      <c r="E114" t="s">
        <v>1732</v>
      </c>
      <c r="F114" s="3">
        <v>1</v>
      </c>
    </row>
    <row r="115" spans="4:6">
      <c r="D115" t="s">
        <v>1812</v>
      </c>
      <c r="F115" s="3">
        <v>1</v>
      </c>
    </row>
    <row r="116" spans="4:6">
      <c r="D116" t="s">
        <v>375</v>
      </c>
      <c r="E116" t="s">
        <v>1732</v>
      </c>
      <c r="F116" s="3">
        <v>1</v>
      </c>
    </row>
    <row r="117" spans="4:6">
      <c r="D117" t="s">
        <v>1813</v>
      </c>
      <c r="F117" s="3">
        <v>1</v>
      </c>
    </row>
    <row r="118" spans="4:6">
      <c r="D118" t="s">
        <v>251</v>
      </c>
      <c r="E118" t="s">
        <v>1732</v>
      </c>
      <c r="F118" s="3">
        <v>1</v>
      </c>
    </row>
    <row r="119" spans="4:6">
      <c r="D119" t="s">
        <v>1814</v>
      </c>
      <c r="F119" s="3">
        <v>1</v>
      </c>
    </row>
    <row r="120" spans="4:6">
      <c r="D120" t="s">
        <v>1235</v>
      </c>
      <c r="E120" t="s">
        <v>1732</v>
      </c>
      <c r="F120" s="3">
        <v>1</v>
      </c>
    </row>
    <row r="121" spans="4:6">
      <c r="D121" t="s">
        <v>1815</v>
      </c>
      <c r="F121" s="3">
        <v>1</v>
      </c>
    </row>
    <row r="122" spans="4:6">
      <c r="D122" t="s">
        <v>1231</v>
      </c>
      <c r="E122" t="s">
        <v>1732</v>
      </c>
      <c r="F122" s="3">
        <v>1</v>
      </c>
    </row>
    <row r="123" spans="4:6">
      <c r="D123" t="s">
        <v>1816</v>
      </c>
      <c r="F123" s="3">
        <v>1</v>
      </c>
    </row>
    <row r="124" spans="4:6">
      <c r="D124" t="s">
        <v>1281</v>
      </c>
      <c r="E124" t="s">
        <v>1732</v>
      </c>
      <c r="F124" s="3">
        <v>1</v>
      </c>
    </row>
    <row r="125" spans="4:6">
      <c r="D125" t="s">
        <v>1817</v>
      </c>
      <c r="F125" s="3">
        <v>1</v>
      </c>
    </row>
    <row r="126" spans="4:6">
      <c r="D126" t="s">
        <v>747</v>
      </c>
      <c r="E126" t="s">
        <v>1818</v>
      </c>
      <c r="F126" s="3">
        <v>1</v>
      </c>
    </row>
    <row r="127" spans="4:6">
      <c r="D127" t="s">
        <v>1819</v>
      </c>
      <c r="F127" s="3">
        <v>1</v>
      </c>
    </row>
    <row r="128" spans="4:6">
      <c r="D128" t="s">
        <v>1634</v>
      </c>
      <c r="E128" t="s">
        <v>1732</v>
      </c>
      <c r="F128" s="3">
        <v>1</v>
      </c>
    </row>
    <row r="129" spans="4:6">
      <c r="D129" t="s">
        <v>1820</v>
      </c>
      <c r="F129" s="3">
        <v>1</v>
      </c>
    </row>
    <row r="130" spans="4:6">
      <c r="D130" t="s">
        <v>877</v>
      </c>
      <c r="E130" t="s">
        <v>1821</v>
      </c>
      <c r="F130" s="3">
        <v>1</v>
      </c>
    </row>
    <row r="131" spans="4:6">
      <c r="D131" t="s">
        <v>1822</v>
      </c>
      <c r="F131" s="3">
        <v>1</v>
      </c>
    </row>
    <row r="132" spans="4:6">
      <c r="D132" t="s">
        <v>881</v>
      </c>
      <c r="E132" t="s">
        <v>1821</v>
      </c>
      <c r="F132" s="3">
        <v>1</v>
      </c>
    </row>
    <row r="133" spans="4:6">
      <c r="D133" t="s">
        <v>1823</v>
      </c>
      <c r="F133" s="3">
        <v>1</v>
      </c>
    </row>
    <row r="134" spans="4:6">
      <c r="D134" t="s">
        <v>112</v>
      </c>
      <c r="E134" t="s">
        <v>1824</v>
      </c>
      <c r="F134" s="3">
        <v>1</v>
      </c>
    </row>
    <row r="135" spans="4:6">
      <c r="D135" t="s">
        <v>1825</v>
      </c>
      <c r="F135" s="3">
        <v>1</v>
      </c>
    </row>
    <row r="136" spans="4:6">
      <c r="D136" t="s">
        <v>44</v>
      </c>
      <c r="E136" t="s">
        <v>1732</v>
      </c>
      <c r="F136" s="3">
        <v>1</v>
      </c>
    </row>
    <row r="137" spans="4:6">
      <c r="D137" t="s">
        <v>1826</v>
      </c>
      <c r="F137" s="3">
        <v>1</v>
      </c>
    </row>
    <row r="138" spans="4:6">
      <c r="D138" t="s">
        <v>69</v>
      </c>
      <c r="E138" t="s">
        <v>1732</v>
      </c>
      <c r="F138" s="3">
        <v>1</v>
      </c>
    </row>
    <row r="139" spans="4:6">
      <c r="D139" t="s">
        <v>1827</v>
      </c>
      <c r="F139" s="3">
        <v>1</v>
      </c>
    </row>
    <row r="140" spans="4:6">
      <c r="D140" t="s">
        <v>66</v>
      </c>
      <c r="E140" t="s">
        <v>1732</v>
      </c>
      <c r="F140" s="3">
        <v>1</v>
      </c>
    </row>
    <row r="141" spans="4:6">
      <c r="D141" t="s">
        <v>1828</v>
      </c>
      <c r="F141" s="3">
        <v>1</v>
      </c>
    </row>
    <row r="142" spans="4:6">
      <c r="D142" t="s">
        <v>63</v>
      </c>
      <c r="E142" t="s">
        <v>1732</v>
      </c>
      <c r="F142" s="3">
        <v>1</v>
      </c>
    </row>
    <row r="143" spans="4:6">
      <c r="D143" t="s">
        <v>1829</v>
      </c>
      <c r="F143" s="3">
        <v>1</v>
      </c>
    </row>
    <row r="144" spans="4:6">
      <c r="D144" t="s">
        <v>810</v>
      </c>
      <c r="E144" t="s">
        <v>1732</v>
      </c>
      <c r="F144" s="3">
        <v>1</v>
      </c>
    </row>
    <row r="145" spans="4:6">
      <c r="D145" t="s">
        <v>1830</v>
      </c>
      <c r="F145" s="3">
        <v>1</v>
      </c>
    </row>
    <row r="146" spans="4:6">
      <c r="D146" t="s">
        <v>519</v>
      </c>
      <c r="E146" t="s">
        <v>1732</v>
      </c>
      <c r="F146" s="3">
        <v>1</v>
      </c>
    </row>
    <row r="147" spans="4:6">
      <c r="D147" t="s">
        <v>1831</v>
      </c>
      <c r="F147" s="3">
        <v>1</v>
      </c>
    </row>
    <row r="148" spans="4:6">
      <c r="D148" t="s">
        <v>59</v>
      </c>
      <c r="E148" t="s">
        <v>1732</v>
      </c>
      <c r="F148" s="3">
        <v>1</v>
      </c>
    </row>
    <row r="149" spans="4:6">
      <c r="D149" t="s">
        <v>1832</v>
      </c>
      <c r="F149" s="3">
        <v>1</v>
      </c>
    </row>
    <row r="150" spans="4:6">
      <c r="D150" t="s">
        <v>622</v>
      </c>
      <c r="E150" t="s">
        <v>1732</v>
      </c>
      <c r="F150" s="3">
        <v>1</v>
      </c>
    </row>
    <row r="151" spans="4:6">
      <c r="D151" t="s">
        <v>1833</v>
      </c>
      <c r="F151" s="3">
        <v>1</v>
      </c>
    </row>
    <row r="152" spans="4:6">
      <c r="D152" t="s">
        <v>412</v>
      </c>
      <c r="E152" t="s">
        <v>1732</v>
      </c>
      <c r="F152" s="3">
        <v>1</v>
      </c>
    </row>
    <row r="153" spans="4:6">
      <c r="D153" t="s">
        <v>1834</v>
      </c>
      <c r="F153" s="3">
        <v>1</v>
      </c>
    </row>
    <row r="154" spans="4:6">
      <c r="D154" t="s">
        <v>40</v>
      </c>
      <c r="E154" t="s">
        <v>1732</v>
      </c>
      <c r="F154" s="3">
        <v>1</v>
      </c>
    </row>
    <row r="155" spans="4:6">
      <c r="D155" t="s">
        <v>1835</v>
      </c>
      <c r="F155" s="3">
        <v>1</v>
      </c>
    </row>
    <row r="156" spans="4:6">
      <c r="D156" t="s">
        <v>224</v>
      </c>
      <c r="E156" t="s">
        <v>1732</v>
      </c>
      <c r="F156" s="3">
        <v>1</v>
      </c>
    </row>
    <row r="157" spans="4:6">
      <c r="D157" t="s">
        <v>1836</v>
      </c>
      <c r="F157" s="3">
        <v>1</v>
      </c>
    </row>
    <row r="158" spans="4:6">
      <c r="D158" t="s">
        <v>1603</v>
      </c>
      <c r="E158" t="s">
        <v>1837</v>
      </c>
      <c r="F158" s="3">
        <v>1</v>
      </c>
    </row>
    <row r="159" spans="4:6">
      <c r="D159" t="s">
        <v>1838</v>
      </c>
      <c r="F159" s="3">
        <v>1</v>
      </c>
    </row>
    <row r="160" spans="4:6">
      <c r="D160" t="s">
        <v>1607</v>
      </c>
      <c r="E160" t="s">
        <v>1732</v>
      </c>
      <c r="F160" s="3">
        <v>1</v>
      </c>
    </row>
    <row r="161" spans="4:6">
      <c r="D161" t="s">
        <v>1839</v>
      </c>
      <c r="F161" s="3">
        <v>1</v>
      </c>
    </row>
    <row r="162" spans="4:6">
      <c r="D162" t="s">
        <v>399</v>
      </c>
      <c r="E162" t="s">
        <v>1732</v>
      </c>
      <c r="F162" s="3">
        <v>1</v>
      </c>
    </row>
    <row r="163" spans="4:6">
      <c r="D163" t="s">
        <v>1840</v>
      </c>
      <c r="F163" s="3">
        <v>1</v>
      </c>
    </row>
    <row r="164" spans="4:6">
      <c r="D164" t="s">
        <v>1113</v>
      </c>
      <c r="E164" t="s">
        <v>1732</v>
      </c>
      <c r="F164" s="3">
        <v>1</v>
      </c>
    </row>
    <row r="165" spans="4:6">
      <c r="D165" t="s">
        <v>1841</v>
      </c>
      <c r="F165" s="3">
        <v>1</v>
      </c>
    </row>
    <row r="166" spans="4:6">
      <c r="D166" t="s">
        <v>82</v>
      </c>
      <c r="E166" t="s">
        <v>1732</v>
      </c>
      <c r="F166" s="3">
        <v>1</v>
      </c>
    </row>
    <row r="167" spans="4:6">
      <c r="D167" t="s">
        <v>1842</v>
      </c>
      <c r="F167" s="3">
        <v>1</v>
      </c>
    </row>
    <row r="168" spans="4:6">
      <c r="D168" t="s">
        <v>987</v>
      </c>
      <c r="E168" t="s">
        <v>1732</v>
      </c>
      <c r="F168" s="3">
        <v>1</v>
      </c>
    </row>
    <row r="169" spans="4:6">
      <c r="D169" t="s">
        <v>1843</v>
      </c>
      <c r="F169" s="3">
        <v>1</v>
      </c>
    </row>
    <row r="170" spans="4:6">
      <c r="D170" t="s">
        <v>1506</v>
      </c>
      <c r="E170" t="s">
        <v>1844</v>
      </c>
      <c r="F170" s="3">
        <v>1</v>
      </c>
    </row>
    <row r="171" spans="4:6">
      <c r="D171" t="s">
        <v>1845</v>
      </c>
      <c r="F171" s="3">
        <v>1</v>
      </c>
    </row>
    <row r="172" spans="4:6">
      <c r="D172" t="s">
        <v>1098</v>
      </c>
      <c r="E172" t="s">
        <v>1732</v>
      </c>
      <c r="F172" s="3">
        <v>1</v>
      </c>
    </row>
    <row r="173" spans="4:6">
      <c r="D173" t="s">
        <v>1846</v>
      </c>
      <c r="F173" s="3">
        <v>1</v>
      </c>
    </row>
    <row r="174" spans="4:6">
      <c r="D174" t="s">
        <v>1145</v>
      </c>
      <c r="E174" t="s">
        <v>1732</v>
      </c>
      <c r="F174" s="3">
        <v>1</v>
      </c>
    </row>
    <row r="175" spans="4:6">
      <c r="D175" t="s">
        <v>1847</v>
      </c>
      <c r="F175" s="3">
        <v>1</v>
      </c>
    </row>
    <row r="176" spans="4:6">
      <c r="D176" t="s">
        <v>842</v>
      </c>
      <c r="E176" t="s">
        <v>1732</v>
      </c>
      <c r="F176" s="3">
        <v>1</v>
      </c>
    </row>
    <row r="177" spans="4:6">
      <c r="D177" t="s">
        <v>1848</v>
      </c>
      <c r="F177" s="3">
        <v>1</v>
      </c>
    </row>
    <row r="178" spans="4:6">
      <c r="D178" t="s">
        <v>838</v>
      </c>
      <c r="E178" t="s">
        <v>1732</v>
      </c>
      <c r="F178" s="3">
        <v>1</v>
      </c>
    </row>
    <row r="179" spans="4:6">
      <c r="D179" t="s">
        <v>1849</v>
      </c>
      <c r="F179" s="3">
        <v>1</v>
      </c>
    </row>
    <row r="180" spans="4:6">
      <c r="D180" t="s">
        <v>790</v>
      </c>
      <c r="E180" t="s">
        <v>1732</v>
      </c>
      <c r="F180" s="3">
        <v>1</v>
      </c>
    </row>
    <row r="181" spans="4:6">
      <c r="D181" t="s">
        <v>1850</v>
      </c>
      <c r="F181" s="3">
        <v>1</v>
      </c>
    </row>
    <row r="182" spans="4:6">
      <c r="D182" t="s">
        <v>78</v>
      </c>
      <c r="E182" t="s">
        <v>1732</v>
      </c>
      <c r="F182" s="3">
        <v>1</v>
      </c>
    </row>
    <row r="183" spans="4:6">
      <c r="D183" t="s">
        <v>1851</v>
      </c>
      <c r="F183" s="3">
        <v>1</v>
      </c>
    </row>
    <row r="184" spans="4:6">
      <c r="D184" t="s">
        <v>322</v>
      </c>
      <c r="E184" t="s">
        <v>1732</v>
      </c>
      <c r="F184" s="3">
        <v>1</v>
      </c>
    </row>
    <row r="185" spans="4:6">
      <c r="D185" t="s">
        <v>1852</v>
      </c>
      <c r="F185" s="3">
        <v>1</v>
      </c>
    </row>
    <row r="186" spans="4:6">
      <c r="D186" t="s">
        <v>509</v>
      </c>
      <c r="E186" t="s">
        <v>1853</v>
      </c>
      <c r="F186" s="3">
        <v>1</v>
      </c>
    </row>
    <row r="187" spans="4:6">
      <c r="D187" t="s">
        <v>1854</v>
      </c>
      <c r="F187" s="3">
        <v>1</v>
      </c>
    </row>
    <row r="188" spans="4:6">
      <c r="D188" t="s">
        <v>1369</v>
      </c>
      <c r="E188" t="s">
        <v>1855</v>
      </c>
      <c r="F188" s="3">
        <v>1</v>
      </c>
    </row>
    <row r="189" spans="4:6">
      <c r="D189" t="s">
        <v>1856</v>
      </c>
      <c r="F189" s="3">
        <v>1</v>
      </c>
    </row>
    <row r="190" spans="4:6">
      <c r="D190" t="s">
        <v>1365</v>
      </c>
      <c r="E190" t="s">
        <v>1855</v>
      </c>
      <c r="F190" s="3">
        <v>1</v>
      </c>
    </row>
    <row r="191" spans="4:6">
      <c r="D191" t="s">
        <v>1857</v>
      </c>
      <c r="F191" s="3">
        <v>1</v>
      </c>
    </row>
    <row r="192" spans="4:6">
      <c r="D192" t="s">
        <v>55</v>
      </c>
      <c r="E192" t="s">
        <v>1858</v>
      </c>
      <c r="F192" s="3">
        <v>1</v>
      </c>
    </row>
    <row r="193" spans="4:6">
      <c r="D193" t="s">
        <v>1859</v>
      </c>
      <c r="F193" s="3">
        <v>1</v>
      </c>
    </row>
    <row r="194" spans="4:6">
      <c r="D194" t="s">
        <v>1399</v>
      </c>
      <c r="E194" t="s">
        <v>1860</v>
      </c>
      <c r="F194" s="3">
        <v>2</v>
      </c>
    </row>
    <row r="195" spans="4:6">
      <c r="D195" t="s">
        <v>1861</v>
      </c>
      <c r="F195" s="3">
        <v>2</v>
      </c>
    </row>
    <row r="196" spans="4:6">
      <c r="D196" t="s">
        <v>1394</v>
      </c>
      <c r="E196" t="s">
        <v>1860</v>
      </c>
      <c r="F196" s="3">
        <v>1</v>
      </c>
    </row>
    <row r="197" spans="4:6">
      <c r="D197" t="s">
        <v>1862</v>
      </c>
      <c r="F197" s="3">
        <v>1</v>
      </c>
    </row>
    <row r="198" spans="4:6">
      <c r="D198" t="s">
        <v>1409</v>
      </c>
      <c r="E198" t="s">
        <v>1860</v>
      </c>
      <c r="F198" s="3">
        <v>1</v>
      </c>
    </row>
    <row r="199" spans="4:6">
      <c r="D199" t="s">
        <v>1863</v>
      </c>
      <c r="F199" s="3">
        <v>1</v>
      </c>
    </row>
    <row r="200" spans="4:6">
      <c r="D200" t="s">
        <v>1413</v>
      </c>
      <c r="E200" t="s">
        <v>1860</v>
      </c>
      <c r="F200" s="3">
        <v>1</v>
      </c>
    </row>
    <row r="201" spans="4:6">
      <c r="D201" t="s">
        <v>1864</v>
      </c>
      <c r="F201" s="3">
        <v>1</v>
      </c>
    </row>
    <row r="202" spans="4:6">
      <c r="D202" t="s">
        <v>1005</v>
      </c>
      <c r="E202" t="s">
        <v>1865</v>
      </c>
      <c r="F202" s="3">
        <v>1</v>
      </c>
    </row>
    <row r="203" spans="4:6">
      <c r="D203" t="s">
        <v>1866</v>
      </c>
      <c r="F203" s="3">
        <v>1</v>
      </c>
    </row>
    <row r="204" spans="4:6">
      <c r="D204" t="s">
        <v>357</v>
      </c>
      <c r="E204" t="s">
        <v>1732</v>
      </c>
      <c r="F204" s="3">
        <v>1</v>
      </c>
    </row>
    <row r="205" spans="4:6">
      <c r="D205" t="s">
        <v>1867</v>
      </c>
      <c r="F205" s="3">
        <v>1</v>
      </c>
    </row>
    <row r="206" spans="4:6">
      <c r="D206" t="s">
        <v>674</v>
      </c>
      <c r="E206" t="s">
        <v>1868</v>
      </c>
      <c r="F206" s="3">
        <v>1</v>
      </c>
    </row>
    <row r="207" spans="4:6">
      <c r="D207" t="s">
        <v>1869</v>
      </c>
      <c r="F207" s="3">
        <v>1</v>
      </c>
    </row>
    <row r="208" spans="4:6">
      <c r="D208" t="s">
        <v>912</v>
      </c>
      <c r="E208" t="s">
        <v>1870</v>
      </c>
      <c r="F208" s="3">
        <v>1</v>
      </c>
    </row>
    <row r="209" spans="4:6">
      <c r="D209" t="s">
        <v>1871</v>
      </c>
      <c r="F209" s="3">
        <v>1</v>
      </c>
    </row>
    <row r="210" spans="4:6">
      <c r="D210" t="s">
        <v>1543</v>
      </c>
      <c r="E210" t="s">
        <v>1732</v>
      </c>
      <c r="F210" s="3">
        <v>1</v>
      </c>
    </row>
    <row r="211" spans="4:6">
      <c r="D211" t="s">
        <v>1872</v>
      </c>
      <c r="F211" s="3">
        <v>1</v>
      </c>
    </row>
    <row r="212" spans="4:6">
      <c r="D212" t="s">
        <v>379</v>
      </c>
      <c r="E212" t="s">
        <v>1732</v>
      </c>
      <c r="F212" s="3">
        <v>1</v>
      </c>
    </row>
    <row r="213" spans="4:6">
      <c r="D213" t="s">
        <v>1873</v>
      </c>
      <c r="F213" s="3">
        <v>1</v>
      </c>
    </row>
    <row r="214" spans="4:6">
      <c r="D214" t="s">
        <v>1020</v>
      </c>
      <c r="E214" t="s">
        <v>1732</v>
      </c>
      <c r="F214" s="3">
        <v>1</v>
      </c>
    </row>
    <row r="215" spans="4:6">
      <c r="D215" t="s">
        <v>1874</v>
      </c>
      <c r="F215" s="3">
        <v>1</v>
      </c>
    </row>
    <row r="216" spans="4:6">
      <c r="D216" t="s">
        <v>649</v>
      </c>
      <c r="E216" t="s">
        <v>1732</v>
      </c>
      <c r="F216" s="3">
        <v>1</v>
      </c>
    </row>
    <row r="217" spans="4:6">
      <c r="D217" t="s">
        <v>1875</v>
      </c>
      <c r="F217" s="3">
        <v>1</v>
      </c>
    </row>
    <row r="218" spans="4:6">
      <c r="D218" t="s">
        <v>1639</v>
      </c>
      <c r="E218" t="s">
        <v>1876</v>
      </c>
      <c r="F218" s="3">
        <v>1</v>
      </c>
    </row>
    <row r="219" spans="4:6">
      <c r="D219" t="s">
        <v>1877</v>
      </c>
      <c r="F219" s="3">
        <v>1</v>
      </c>
    </row>
    <row r="220" spans="4:6">
      <c r="D220" t="s">
        <v>1170</v>
      </c>
      <c r="E220" t="s">
        <v>1878</v>
      </c>
      <c r="F220" s="3">
        <v>1</v>
      </c>
    </row>
    <row r="221" spans="4:6">
      <c r="D221" t="s">
        <v>1879</v>
      </c>
      <c r="F221" s="3">
        <v>1</v>
      </c>
    </row>
    <row r="222" spans="4:6">
      <c r="D222" t="s">
        <v>1331</v>
      </c>
      <c r="E222" t="s">
        <v>1732</v>
      </c>
      <c r="F222" s="3">
        <v>1</v>
      </c>
    </row>
    <row r="223" spans="4:6">
      <c r="D223" t="s">
        <v>1880</v>
      </c>
      <c r="F223" s="3">
        <v>1</v>
      </c>
    </row>
    <row r="224" spans="4:6">
      <c r="D224" t="s">
        <v>1208</v>
      </c>
      <c r="E224" t="s">
        <v>1732</v>
      </c>
      <c r="F224" s="3">
        <v>1</v>
      </c>
    </row>
    <row r="225" spans="4:6">
      <c r="D225" t="s">
        <v>1881</v>
      </c>
      <c r="F225" s="3">
        <v>1</v>
      </c>
    </row>
    <row r="226" spans="4:6">
      <c r="D226" t="s">
        <v>1338</v>
      </c>
      <c r="E226" t="s">
        <v>1732</v>
      </c>
      <c r="F226" s="3">
        <v>1</v>
      </c>
    </row>
    <row r="227" spans="4:6">
      <c r="D227" t="s">
        <v>1882</v>
      </c>
      <c r="F227" s="3">
        <v>1</v>
      </c>
    </row>
    <row r="228" spans="4:6">
      <c r="D228" t="s">
        <v>1336</v>
      </c>
      <c r="E228" t="s">
        <v>1732</v>
      </c>
      <c r="F228" s="3">
        <v>1</v>
      </c>
    </row>
    <row r="229" spans="4:6">
      <c r="D229" t="s">
        <v>1883</v>
      </c>
      <c r="F229" s="3">
        <v>1</v>
      </c>
    </row>
    <row r="230" spans="4:6">
      <c r="D230" t="s">
        <v>873</v>
      </c>
      <c r="E230" t="s">
        <v>1884</v>
      </c>
      <c r="F230" s="3">
        <v>1</v>
      </c>
    </row>
    <row r="231" spans="4:6">
      <c r="D231" t="s">
        <v>1885</v>
      </c>
      <c r="F231" s="3">
        <v>1</v>
      </c>
    </row>
    <row r="232" spans="4:6">
      <c r="D232" t="s">
        <v>88</v>
      </c>
      <c r="E232" t="s">
        <v>1886</v>
      </c>
      <c r="F232" s="3">
        <v>1</v>
      </c>
    </row>
    <row r="233" spans="4:6">
      <c r="D233" t="s">
        <v>1887</v>
      </c>
      <c r="F233" s="3">
        <v>1</v>
      </c>
    </row>
    <row r="234" spans="4:6">
      <c r="D234" t="s">
        <v>567</v>
      </c>
      <c r="E234" t="s">
        <v>1732</v>
      </c>
      <c r="F234" s="3">
        <v>1</v>
      </c>
    </row>
    <row r="235" spans="4:6">
      <c r="D235" t="s">
        <v>1888</v>
      </c>
      <c r="F235" s="3">
        <v>1</v>
      </c>
    </row>
    <row r="236" spans="4:6">
      <c r="D236" t="s">
        <v>940</v>
      </c>
      <c r="E236" t="s">
        <v>1889</v>
      </c>
      <c r="F236" s="3">
        <v>1</v>
      </c>
    </row>
    <row r="237" spans="4:6">
      <c r="D237" t="s">
        <v>1890</v>
      </c>
      <c r="F237" s="3">
        <v>1</v>
      </c>
    </row>
    <row r="238" spans="4:6">
      <c r="D238" t="s">
        <v>384</v>
      </c>
      <c r="E238" t="s">
        <v>1732</v>
      </c>
      <c r="F238" s="3">
        <v>1</v>
      </c>
    </row>
    <row r="239" spans="4:6">
      <c r="D239" t="s">
        <v>1891</v>
      </c>
      <c r="F239" s="3">
        <v>1</v>
      </c>
    </row>
    <row r="240" spans="4:6">
      <c r="D240" t="s">
        <v>387</v>
      </c>
      <c r="E240" t="s">
        <v>1732</v>
      </c>
      <c r="F240" s="3">
        <v>1</v>
      </c>
    </row>
    <row r="241" spans="4:6">
      <c r="D241" t="s">
        <v>1892</v>
      </c>
      <c r="F241" s="3">
        <v>1</v>
      </c>
    </row>
    <row r="242" spans="4:6">
      <c r="D242" t="s">
        <v>1719</v>
      </c>
      <c r="E242" t="s">
        <v>1732</v>
      </c>
      <c r="F242" s="3">
        <v>1</v>
      </c>
    </row>
    <row r="243" spans="4:6">
      <c r="D243" t="s">
        <v>1893</v>
      </c>
      <c r="F243" s="3">
        <v>1</v>
      </c>
    </row>
    <row r="244" spans="4:6">
      <c r="D244" t="s">
        <v>362</v>
      </c>
      <c r="E244" t="s">
        <v>1732</v>
      </c>
      <c r="F244" s="3">
        <v>1</v>
      </c>
    </row>
    <row r="245" spans="4:6">
      <c r="D245" t="s">
        <v>1894</v>
      </c>
      <c r="F245" s="3">
        <v>1</v>
      </c>
    </row>
    <row r="246" spans="4:6">
      <c r="D246" t="s">
        <v>246</v>
      </c>
      <c r="E246" t="s">
        <v>1732</v>
      </c>
      <c r="F246" s="3">
        <v>1</v>
      </c>
    </row>
    <row r="247" spans="4:6">
      <c r="D247" t="s">
        <v>1895</v>
      </c>
      <c r="F247" s="3">
        <v>1</v>
      </c>
    </row>
    <row r="248" spans="4:6">
      <c r="D248" t="s">
        <v>1109</v>
      </c>
      <c r="E248" t="s">
        <v>1732</v>
      </c>
      <c r="F248" s="3">
        <v>1</v>
      </c>
    </row>
    <row r="249" spans="4:6">
      <c r="D249" t="s">
        <v>1896</v>
      </c>
      <c r="F249" s="3">
        <v>1</v>
      </c>
    </row>
    <row r="250" spans="4:6">
      <c r="D250" t="s">
        <v>658</v>
      </c>
      <c r="E250" t="s">
        <v>1897</v>
      </c>
      <c r="F250" s="3">
        <v>1</v>
      </c>
    </row>
    <row r="251" spans="4:6">
      <c r="D251" t="s">
        <v>1898</v>
      </c>
      <c r="F251" s="3">
        <v>1</v>
      </c>
    </row>
    <row r="252" spans="4:6">
      <c r="D252" t="s">
        <v>164</v>
      </c>
      <c r="E252" t="s">
        <v>1732</v>
      </c>
      <c r="F252" s="3">
        <v>1</v>
      </c>
    </row>
    <row r="253" spans="4:6">
      <c r="D253" t="s">
        <v>1899</v>
      </c>
      <c r="F253" s="3">
        <v>1</v>
      </c>
    </row>
    <row r="254" spans="4:6">
      <c r="D254" t="s">
        <v>254</v>
      </c>
      <c r="E254" t="s">
        <v>1732</v>
      </c>
      <c r="F254" s="3">
        <v>1</v>
      </c>
    </row>
    <row r="255" spans="4:6">
      <c r="D255" t="s">
        <v>1900</v>
      </c>
      <c r="F255" s="3">
        <v>1</v>
      </c>
    </row>
    <row r="256" spans="4:6">
      <c r="D256" t="s">
        <v>273</v>
      </c>
      <c r="E256" t="s">
        <v>1732</v>
      </c>
      <c r="F256" s="3">
        <v>1</v>
      </c>
    </row>
    <row r="257" spans="4:6">
      <c r="D257" t="s">
        <v>1901</v>
      </c>
      <c r="F257" s="3">
        <v>1</v>
      </c>
    </row>
    <row r="258" spans="4:6">
      <c r="D258" t="s">
        <v>1315</v>
      </c>
      <c r="E258" t="s">
        <v>1902</v>
      </c>
      <c r="F258" s="3">
        <v>1</v>
      </c>
    </row>
    <row r="259" spans="4:6">
      <c r="D259" t="s">
        <v>1903</v>
      </c>
      <c r="F259" s="3">
        <v>1</v>
      </c>
    </row>
    <row r="260" spans="4:6">
      <c r="D260" t="s">
        <v>683</v>
      </c>
      <c r="E260" t="s">
        <v>1732</v>
      </c>
      <c r="F260" s="3">
        <v>1</v>
      </c>
    </row>
    <row r="261" spans="4:6">
      <c r="D261" t="s">
        <v>1904</v>
      </c>
      <c r="F261" s="3">
        <v>1</v>
      </c>
    </row>
    <row r="262" spans="4:6">
      <c r="D262" t="s">
        <v>780</v>
      </c>
      <c r="E262" t="s">
        <v>1905</v>
      </c>
      <c r="F262" s="3">
        <v>1</v>
      </c>
    </row>
    <row r="263" spans="4:6">
      <c r="D263" t="s">
        <v>1906</v>
      </c>
      <c r="F263" s="3">
        <v>1</v>
      </c>
    </row>
    <row r="264" spans="4:6">
      <c r="D264" t="s">
        <v>262</v>
      </c>
      <c r="E264" t="s">
        <v>1732</v>
      </c>
      <c r="F264" s="3">
        <v>1</v>
      </c>
    </row>
    <row r="265" spans="4:6">
      <c r="D265" t="s">
        <v>1907</v>
      </c>
      <c r="F265" s="3">
        <v>1</v>
      </c>
    </row>
    <row r="266" spans="4:6">
      <c r="D266" t="s">
        <v>1290</v>
      </c>
      <c r="E266" t="s">
        <v>1908</v>
      </c>
      <c r="F266" s="3">
        <v>1</v>
      </c>
    </row>
    <row r="267" spans="4:6">
      <c r="D267" t="s">
        <v>1909</v>
      </c>
      <c r="F267" s="3">
        <v>1</v>
      </c>
    </row>
    <row r="268" spans="4:6">
      <c r="D268" t="s">
        <v>463</v>
      </c>
      <c r="E268" t="s">
        <v>1910</v>
      </c>
      <c r="F268" s="3">
        <v>3</v>
      </c>
    </row>
    <row r="269" spans="4:6">
      <c r="D269" t="s">
        <v>1911</v>
      </c>
      <c r="F269" s="3">
        <v>3</v>
      </c>
    </row>
    <row r="270" spans="4:6">
      <c r="D270" t="s">
        <v>474</v>
      </c>
      <c r="E270" t="s">
        <v>1732</v>
      </c>
      <c r="F270" s="3">
        <v>1</v>
      </c>
    </row>
    <row r="271" spans="4:6">
      <c r="D271" t="s">
        <v>1912</v>
      </c>
      <c r="F271" s="3">
        <v>1</v>
      </c>
    </row>
    <row r="272" spans="4:6">
      <c r="D272" t="s">
        <v>470</v>
      </c>
      <c r="E272" t="s">
        <v>1732</v>
      </c>
      <c r="F272" s="3">
        <v>2</v>
      </c>
    </row>
    <row r="273" spans="4:6">
      <c r="D273" t="s">
        <v>1913</v>
      </c>
      <c r="F273" s="3">
        <v>2</v>
      </c>
    </row>
    <row r="274" spans="4:6">
      <c r="D274" t="s">
        <v>590</v>
      </c>
      <c r="E274" t="s">
        <v>1732</v>
      </c>
      <c r="F274" s="3">
        <v>2</v>
      </c>
    </row>
    <row r="275" spans="4:6">
      <c r="D275" t="s">
        <v>1914</v>
      </c>
      <c r="F275" s="3">
        <v>2</v>
      </c>
    </row>
    <row r="276" spans="4:6">
      <c r="D276" t="s">
        <v>491</v>
      </c>
      <c r="E276" t="s">
        <v>1915</v>
      </c>
      <c r="F276" s="3">
        <v>1</v>
      </c>
    </row>
    <row r="277" spans="4:6">
      <c r="D277" t="s">
        <v>1916</v>
      </c>
      <c r="F277" s="3">
        <v>1</v>
      </c>
    </row>
    <row r="278" spans="4:6">
      <c r="D278" t="s">
        <v>151</v>
      </c>
      <c r="E278" t="s">
        <v>1732</v>
      </c>
      <c r="F278" s="3">
        <v>1</v>
      </c>
    </row>
    <row r="279" spans="4:6">
      <c r="D279" t="s">
        <v>1917</v>
      </c>
      <c r="F279" s="3">
        <v>1</v>
      </c>
    </row>
    <row r="280" spans="4:6">
      <c r="D280" t="s">
        <v>1268</v>
      </c>
      <c r="E280" t="s">
        <v>1732</v>
      </c>
      <c r="F280" s="3">
        <v>1</v>
      </c>
    </row>
    <row r="281" spans="4:6">
      <c r="D281" t="s">
        <v>1918</v>
      </c>
      <c r="F281" s="3">
        <v>1</v>
      </c>
    </row>
    <row r="282" spans="4:6">
      <c r="D282" t="s">
        <v>193</v>
      </c>
      <c r="E282" t="s">
        <v>1732</v>
      </c>
      <c r="F282" s="3">
        <v>1</v>
      </c>
    </row>
    <row r="283" spans="4:6">
      <c r="D283" t="s">
        <v>1919</v>
      </c>
      <c r="F283" s="3">
        <v>1</v>
      </c>
    </row>
    <row r="284" spans="4:6">
      <c r="D284" t="s">
        <v>340</v>
      </c>
      <c r="E284" t="s">
        <v>1732</v>
      </c>
      <c r="F284" s="3">
        <v>1</v>
      </c>
    </row>
    <row r="285" spans="4:6">
      <c r="D285" t="s">
        <v>1920</v>
      </c>
      <c r="F285" s="3">
        <v>1</v>
      </c>
    </row>
    <row r="286" spans="4:6">
      <c r="D286" t="s">
        <v>951</v>
      </c>
      <c r="E286" t="s">
        <v>1732</v>
      </c>
      <c r="F286" s="3">
        <v>1</v>
      </c>
    </row>
    <row r="287" spans="4:6">
      <c r="D287" t="s">
        <v>1921</v>
      </c>
      <c r="F287" s="3">
        <v>1</v>
      </c>
    </row>
    <row r="288" spans="4:6">
      <c r="D288" t="s">
        <v>331</v>
      </c>
      <c r="E288" t="s">
        <v>1732</v>
      </c>
      <c r="F288" s="3">
        <v>1</v>
      </c>
    </row>
    <row r="289" spans="4:6">
      <c r="D289" t="s">
        <v>1922</v>
      </c>
      <c r="F289" s="3">
        <v>1</v>
      </c>
    </row>
    <row r="290" spans="4:6">
      <c r="D290" t="s">
        <v>1595</v>
      </c>
      <c r="E290" t="s">
        <v>1732</v>
      </c>
      <c r="F290" s="3">
        <v>1</v>
      </c>
    </row>
    <row r="291" spans="4:6">
      <c r="D291" t="s">
        <v>1923</v>
      </c>
      <c r="F291" s="3">
        <v>1</v>
      </c>
    </row>
    <row r="292" spans="4:6">
      <c r="D292" t="s">
        <v>610</v>
      </c>
      <c r="E292" t="s">
        <v>1924</v>
      </c>
      <c r="F292" s="3">
        <v>1</v>
      </c>
    </row>
    <row r="293" spans="4:6">
      <c r="D293" t="s">
        <v>1925</v>
      </c>
      <c r="F293" s="3">
        <v>1</v>
      </c>
    </row>
    <row r="294" spans="4:6">
      <c r="D294" t="s">
        <v>687</v>
      </c>
      <c r="E294" t="s">
        <v>1732</v>
      </c>
      <c r="F294" s="3">
        <v>1</v>
      </c>
    </row>
    <row r="295" spans="4:6">
      <c r="D295" t="s">
        <v>1926</v>
      </c>
      <c r="F295" s="3">
        <v>1</v>
      </c>
    </row>
    <row r="296" spans="4:6">
      <c r="D296" t="s">
        <v>970</v>
      </c>
      <c r="E296" t="s">
        <v>1927</v>
      </c>
      <c r="F296" s="3">
        <v>1</v>
      </c>
    </row>
    <row r="297" spans="4:6">
      <c r="D297" t="s">
        <v>1928</v>
      </c>
      <c r="F297" s="3">
        <v>1</v>
      </c>
    </row>
    <row r="298" spans="4:6">
      <c r="D298" t="s">
        <v>437</v>
      </c>
      <c r="E298" t="s">
        <v>1929</v>
      </c>
      <c r="F298" s="3">
        <v>1</v>
      </c>
    </row>
    <row r="299" spans="4:6">
      <c r="D299" t="s">
        <v>1930</v>
      </c>
      <c r="F299" s="3">
        <v>1</v>
      </c>
    </row>
    <row r="300" spans="4:6">
      <c r="D300" t="s">
        <v>832</v>
      </c>
      <c r="E300" t="s">
        <v>1732</v>
      </c>
      <c r="F300" s="3">
        <v>1</v>
      </c>
    </row>
    <row r="301" spans="4:6">
      <c r="D301" t="s">
        <v>1931</v>
      </c>
      <c r="F301" s="3">
        <v>1</v>
      </c>
    </row>
    <row r="302" spans="4:6">
      <c r="D302" t="s">
        <v>544</v>
      </c>
      <c r="E302" t="s">
        <v>1732</v>
      </c>
      <c r="F302" s="3">
        <v>1</v>
      </c>
    </row>
    <row r="303" spans="4:6">
      <c r="D303" t="s">
        <v>1932</v>
      </c>
      <c r="F303" s="3">
        <v>1</v>
      </c>
    </row>
    <row r="304" spans="4:6">
      <c r="D304" t="s">
        <v>392</v>
      </c>
      <c r="E304" t="s">
        <v>1732</v>
      </c>
      <c r="F304" s="3">
        <v>1</v>
      </c>
    </row>
    <row r="305" spans="4:6">
      <c r="D305" t="s">
        <v>1933</v>
      </c>
      <c r="F305" s="3">
        <v>1</v>
      </c>
    </row>
    <row r="306" spans="4:6">
      <c r="D306" t="s">
        <v>395</v>
      </c>
      <c r="E306" t="s">
        <v>1732</v>
      </c>
      <c r="F306" s="3">
        <v>1</v>
      </c>
    </row>
    <row r="307" spans="4:6">
      <c r="D307" t="s">
        <v>1934</v>
      </c>
      <c r="F307" s="3">
        <v>1</v>
      </c>
    </row>
    <row r="308" spans="4:6">
      <c r="D308" t="s">
        <v>725</v>
      </c>
      <c r="E308" t="s">
        <v>1935</v>
      </c>
      <c r="F308" s="3">
        <v>1</v>
      </c>
    </row>
    <row r="309" spans="4:6">
      <c r="D309" t="s">
        <v>1936</v>
      </c>
      <c r="F309" s="3">
        <v>1</v>
      </c>
    </row>
    <row r="310" spans="4:6">
      <c r="D310" t="s">
        <v>821</v>
      </c>
      <c r="E310" t="s">
        <v>1732</v>
      </c>
      <c r="F310" s="3">
        <v>1</v>
      </c>
    </row>
    <row r="311" spans="4:6">
      <c r="D311" t="s">
        <v>1937</v>
      </c>
      <c r="F311" s="3">
        <v>1</v>
      </c>
    </row>
    <row r="312" spans="4:6">
      <c r="D312" t="s">
        <v>917</v>
      </c>
      <c r="E312" t="s">
        <v>1938</v>
      </c>
      <c r="F312" s="3">
        <v>1</v>
      </c>
    </row>
    <row r="313" spans="4:6">
      <c r="D313" t="s">
        <v>1939</v>
      </c>
      <c r="F313" s="3">
        <v>1</v>
      </c>
    </row>
    <row r="314" spans="4:6">
      <c r="D314" t="s">
        <v>920</v>
      </c>
      <c r="E314" t="s">
        <v>1940</v>
      </c>
      <c r="F314" s="3">
        <v>1</v>
      </c>
    </row>
    <row r="315" spans="4:6">
      <c r="D315" t="s">
        <v>1941</v>
      </c>
      <c r="F315" s="3">
        <v>1</v>
      </c>
    </row>
    <row r="316" spans="4:6">
      <c r="D316" t="s">
        <v>1621</v>
      </c>
      <c r="E316" t="s">
        <v>1732</v>
      </c>
      <c r="F316" s="3">
        <v>1</v>
      </c>
    </row>
    <row r="317" spans="4:6">
      <c r="D317" t="s">
        <v>1942</v>
      </c>
      <c r="F317" s="3">
        <v>1</v>
      </c>
    </row>
    <row r="318" spans="4:6">
      <c r="D318" t="s">
        <v>1653</v>
      </c>
      <c r="E318" t="s">
        <v>1732</v>
      </c>
      <c r="F318" s="3">
        <v>1</v>
      </c>
    </row>
    <row r="319" spans="4:6">
      <c r="D319" t="s">
        <v>1943</v>
      </c>
      <c r="F319" s="3">
        <v>1</v>
      </c>
    </row>
    <row r="320" spans="4:6">
      <c r="D320" t="s">
        <v>1684</v>
      </c>
      <c r="E320" t="s">
        <v>1732</v>
      </c>
      <c r="F320" s="3">
        <v>1</v>
      </c>
    </row>
    <row r="321" spans="4:6">
      <c r="D321" t="s">
        <v>1944</v>
      </c>
      <c r="F321" s="3">
        <v>1</v>
      </c>
    </row>
    <row r="322" spans="4:6">
      <c r="D322" t="s">
        <v>1729</v>
      </c>
      <c r="E322" t="s">
        <v>1732</v>
      </c>
      <c r="F322" s="3">
        <v>1</v>
      </c>
    </row>
    <row r="323" spans="4:6">
      <c r="D323" t="s">
        <v>1945</v>
      </c>
      <c r="F323" s="3">
        <v>1</v>
      </c>
    </row>
    <row r="324" spans="4:6">
      <c r="D324" t="s">
        <v>1681</v>
      </c>
      <c r="E324" t="s">
        <v>1732</v>
      </c>
      <c r="F324" s="3">
        <v>1</v>
      </c>
    </row>
    <row r="325" spans="4:6">
      <c r="D325" t="s">
        <v>1946</v>
      </c>
      <c r="F325" s="3">
        <v>1</v>
      </c>
    </row>
    <row r="326" spans="4:6">
      <c r="D326" t="s">
        <v>1724</v>
      </c>
      <c r="E326" t="s">
        <v>1732</v>
      </c>
      <c r="F326" s="3">
        <v>1</v>
      </c>
    </row>
    <row r="327" spans="4:6">
      <c r="D327" t="s">
        <v>1947</v>
      </c>
      <c r="F327" s="3">
        <v>1</v>
      </c>
    </row>
    <row r="328" spans="4:6">
      <c r="D328" t="s">
        <v>416</v>
      </c>
      <c r="E328" t="s">
        <v>1732</v>
      </c>
      <c r="F328" s="3">
        <v>1</v>
      </c>
    </row>
    <row r="329" spans="4:6">
      <c r="D329" t="s">
        <v>1948</v>
      </c>
      <c r="F329" s="3">
        <v>1</v>
      </c>
    </row>
    <row r="330" spans="4:6">
      <c r="D330" t="s">
        <v>580</v>
      </c>
      <c r="E330" t="s">
        <v>1949</v>
      </c>
      <c r="F330" s="3">
        <v>1</v>
      </c>
    </row>
    <row r="331" spans="4:6">
      <c r="D331" t="s">
        <v>1950</v>
      </c>
      <c r="F331" s="3">
        <v>1</v>
      </c>
    </row>
    <row r="332" spans="4:6">
      <c r="D332" t="s">
        <v>1024</v>
      </c>
      <c r="E332" t="s">
        <v>1951</v>
      </c>
      <c r="F332" s="3">
        <v>1</v>
      </c>
    </row>
    <row r="333" spans="4:6">
      <c r="D333" t="s">
        <v>1952</v>
      </c>
      <c r="F333" s="3">
        <v>1</v>
      </c>
    </row>
    <row r="334" spans="4:6">
      <c r="D334" t="s">
        <v>1263</v>
      </c>
      <c r="E334" t="s">
        <v>1732</v>
      </c>
      <c r="F334" s="3">
        <v>1</v>
      </c>
    </row>
    <row r="335" spans="4:6">
      <c r="D335" t="s">
        <v>1953</v>
      </c>
      <c r="F335" s="3">
        <v>1</v>
      </c>
    </row>
    <row r="336" spans="4:6">
      <c r="D336" t="s">
        <v>1421</v>
      </c>
      <c r="E336" t="s">
        <v>1732</v>
      </c>
      <c r="F336" s="3">
        <v>1</v>
      </c>
    </row>
    <row r="337" spans="4:6">
      <c r="D337" t="s">
        <v>1954</v>
      </c>
      <c r="F337" s="3">
        <v>1</v>
      </c>
    </row>
    <row r="338" spans="4:6">
      <c r="D338" t="s">
        <v>1572</v>
      </c>
      <c r="E338" t="s">
        <v>1732</v>
      </c>
      <c r="F338" s="3">
        <v>1</v>
      </c>
    </row>
    <row r="339" spans="4:6">
      <c r="D339" t="s">
        <v>1955</v>
      </c>
      <c r="F339" s="3">
        <v>1</v>
      </c>
    </row>
    <row r="340" spans="4:6">
      <c r="D340" t="s">
        <v>1576</v>
      </c>
      <c r="E340" t="s">
        <v>1956</v>
      </c>
      <c r="F340" s="3">
        <v>1</v>
      </c>
    </row>
    <row r="341" spans="4:6">
      <c r="D341" t="s">
        <v>1957</v>
      </c>
      <c r="F341" s="3">
        <v>1</v>
      </c>
    </row>
    <row r="342" spans="4:6">
      <c r="D342" t="s">
        <v>1491</v>
      </c>
      <c r="E342" t="s">
        <v>1732</v>
      </c>
      <c r="F342" s="3">
        <v>1</v>
      </c>
    </row>
    <row r="343" spans="4:6">
      <c r="D343" t="s">
        <v>1958</v>
      </c>
      <c r="F343" s="3">
        <v>1</v>
      </c>
    </row>
    <row r="344" spans="4:6">
      <c r="D344" t="s">
        <v>428</v>
      </c>
      <c r="E344" t="s">
        <v>1959</v>
      </c>
      <c r="F344" s="3">
        <v>1</v>
      </c>
    </row>
    <row r="345" spans="4:6">
      <c r="D345" t="s">
        <v>1960</v>
      </c>
      <c r="F345" s="3">
        <v>1</v>
      </c>
    </row>
    <row r="346" spans="4:6">
      <c r="D346" t="s">
        <v>243</v>
      </c>
      <c r="E346" t="s">
        <v>1732</v>
      </c>
      <c r="F346" s="3">
        <v>1</v>
      </c>
    </row>
    <row r="347" spans="4:6">
      <c r="D347" t="s">
        <v>1961</v>
      </c>
      <c r="F347" s="3">
        <v>1</v>
      </c>
    </row>
    <row r="348" spans="4:6">
      <c r="D348" t="s">
        <v>699</v>
      </c>
      <c r="E348" t="s">
        <v>1732</v>
      </c>
      <c r="F348" s="3">
        <v>1</v>
      </c>
    </row>
    <row r="349" spans="4:6">
      <c r="D349" t="s">
        <v>1962</v>
      </c>
      <c r="F349" s="3">
        <v>1</v>
      </c>
    </row>
    <row r="350" spans="4:6">
      <c r="D350" t="s">
        <v>1296</v>
      </c>
      <c r="E350" t="s">
        <v>1732</v>
      </c>
      <c r="F350" s="3">
        <v>1</v>
      </c>
    </row>
    <row r="351" spans="4:6">
      <c r="D351" t="s">
        <v>1963</v>
      </c>
      <c r="F351" s="3">
        <v>1</v>
      </c>
    </row>
    <row r="352" spans="4:6">
      <c r="D352" t="s">
        <v>478</v>
      </c>
      <c r="E352" t="s">
        <v>1732</v>
      </c>
      <c r="F352" s="3">
        <v>1</v>
      </c>
    </row>
    <row r="353" spans="4:6">
      <c r="D353" t="s">
        <v>1964</v>
      </c>
      <c r="F353" s="3">
        <v>1</v>
      </c>
    </row>
    <row r="354" spans="4:6">
      <c r="D354" t="s">
        <v>718</v>
      </c>
      <c r="E354" t="s">
        <v>1732</v>
      </c>
      <c r="F354" s="3">
        <v>2</v>
      </c>
    </row>
    <row r="355" spans="4:6">
      <c r="D355" t="s">
        <v>1965</v>
      </c>
      <c r="F355" s="3">
        <v>2</v>
      </c>
    </row>
    <row r="356" spans="4:6">
      <c r="D356" t="s">
        <v>713</v>
      </c>
      <c r="E356" t="s">
        <v>1732</v>
      </c>
      <c r="F356" s="3">
        <v>3</v>
      </c>
    </row>
    <row r="357" spans="4:6">
      <c r="D357" t="s">
        <v>1966</v>
      </c>
      <c r="F357" s="3">
        <v>3</v>
      </c>
    </row>
    <row r="358" spans="4:6">
      <c r="D358" t="s">
        <v>1188</v>
      </c>
      <c r="E358" t="s">
        <v>1732</v>
      </c>
      <c r="F358" s="3">
        <v>1</v>
      </c>
    </row>
    <row r="359" spans="4:6">
      <c r="D359" t="s">
        <v>1967</v>
      </c>
      <c r="F359" s="3">
        <v>1</v>
      </c>
    </row>
    <row r="360" spans="4:6">
      <c r="D360" t="s">
        <v>271</v>
      </c>
      <c r="E360" t="s">
        <v>1968</v>
      </c>
      <c r="F360" s="3">
        <v>1</v>
      </c>
    </row>
    <row r="361" spans="4:6">
      <c r="D361" t="s">
        <v>1969</v>
      </c>
      <c r="F361" s="3">
        <v>1</v>
      </c>
    </row>
    <row r="362" spans="4:6">
      <c r="D362" t="s">
        <v>559</v>
      </c>
      <c r="E362" t="s">
        <v>1970</v>
      </c>
      <c r="F362" s="3">
        <v>1</v>
      </c>
    </row>
    <row r="363" spans="4:6">
      <c r="D363" t="s">
        <v>1971</v>
      </c>
      <c r="F363" s="3">
        <v>1</v>
      </c>
    </row>
    <row r="364" spans="4:6">
      <c r="D364" t="s">
        <v>597</v>
      </c>
      <c r="E364" t="s">
        <v>1732</v>
      </c>
      <c r="F364" s="3">
        <v>1</v>
      </c>
    </row>
    <row r="365" spans="4:6">
      <c r="D365" t="s">
        <v>1972</v>
      </c>
      <c r="F365" s="3">
        <v>1</v>
      </c>
    </row>
    <row r="366" spans="4:6">
      <c r="D366" t="s">
        <v>1277</v>
      </c>
      <c r="E366" t="s">
        <v>1732</v>
      </c>
      <c r="F366" s="3">
        <v>1</v>
      </c>
    </row>
    <row r="367" spans="4:6">
      <c r="D367" t="s">
        <v>1973</v>
      </c>
      <c r="F367" s="3">
        <v>1</v>
      </c>
    </row>
    <row r="368" spans="4:6">
      <c r="D368" t="s">
        <v>99</v>
      </c>
      <c r="E368" t="s">
        <v>1732</v>
      </c>
      <c r="F368" s="3">
        <v>1</v>
      </c>
    </row>
    <row r="369" spans="4:6">
      <c r="D369" t="s">
        <v>1974</v>
      </c>
      <c r="F369" s="3">
        <v>1</v>
      </c>
    </row>
    <row r="370" spans="4:6">
      <c r="D370" t="s">
        <v>768</v>
      </c>
      <c r="E370" t="s">
        <v>1732</v>
      </c>
      <c r="F370" s="3">
        <v>1</v>
      </c>
    </row>
    <row r="371" spans="4:6">
      <c r="D371" t="s">
        <v>1975</v>
      </c>
      <c r="F371" s="3">
        <v>1</v>
      </c>
    </row>
    <row r="372" spans="4:6">
      <c r="D372" t="s">
        <v>1214</v>
      </c>
      <c r="E372" t="s">
        <v>1732</v>
      </c>
      <c r="F372" s="3">
        <v>1</v>
      </c>
    </row>
    <row r="373" spans="4:6">
      <c r="D373" t="s">
        <v>1976</v>
      </c>
      <c r="F373" s="3">
        <v>1</v>
      </c>
    </row>
    <row r="374" spans="4:6">
      <c r="D374" t="s">
        <v>1304</v>
      </c>
      <c r="E374" t="s">
        <v>1732</v>
      </c>
      <c r="F374" s="3">
        <v>1</v>
      </c>
    </row>
    <row r="375" spans="4:6">
      <c r="D375" t="s">
        <v>1977</v>
      </c>
      <c r="F375" s="3">
        <v>1</v>
      </c>
    </row>
    <row r="376" spans="4:6">
      <c r="D376" t="s">
        <v>1518</v>
      </c>
      <c r="E376" t="s">
        <v>1732</v>
      </c>
      <c r="F376" s="3">
        <v>1</v>
      </c>
    </row>
    <row r="377" spans="4:6">
      <c r="D377" t="s">
        <v>1978</v>
      </c>
      <c r="F377" s="3">
        <v>1</v>
      </c>
    </row>
    <row r="378" spans="4:6">
      <c r="D378" t="s">
        <v>179</v>
      </c>
      <c r="E378" t="s">
        <v>1979</v>
      </c>
      <c r="F378" s="3">
        <v>1</v>
      </c>
    </row>
    <row r="379" spans="4:6">
      <c r="D379" t="s">
        <v>1980</v>
      </c>
      <c r="F379" s="3">
        <v>1</v>
      </c>
    </row>
    <row r="380" spans="4:6">
      <c r="D380" t="s">
        <v>290</v>
      </c>
      <c r="E380" t="s">
        <v>1732</v>
      </c>
      <c r="F380" s="3">
        <v>1</v>
      </c>
    </row>
    <row r="381" spans="4:6">
      <c r="D381" t="s">
        <v>1981</v>
      </c>
      <c r="F381" s="3">
        <v>1</v>
      </c>
    </row>
    <row r="382" spans="4:6">
      <c r="D382" t="s">
        <v>1043</v>
      </c>
      <c r="E382" t="s">
        <v>1982</v>
      </c>
      <c r="F382" s="3">
        <v>1</v>
      </c>
    </row>
    <row r="383" spans="4:6">
      <c r="D383" t="s">
        <v>1983</v>
      </c>
      <c r="F383" s="3">
        <v>1</v>
      </c>
    </row>
    <row r="384" spans="4:6">
      <c r="D384" t="s">
        <v>368</v>
      </c>
      <c r="E384" t="s">
        <v>1732</v>
      </c>
      <c r="F384" s="3">
        <v>1</v>
      </c>
    </row>
    <row r="385" spans="4:6">
      <c r="D385" t="s">
        <v>1984</v>
      </c>
      <c r="F385" s="3">
        <v>1</v>
      </c>
    </row>
    <row r="386" spans="4:6">
      <c r="D386" t="s">
        <v>572</v>
      </c>
      <c r="E386" t="s">
        <v>1732</v>
      </c>
      <c r="F386" s="3">
        <v>1</v>
      </c>
    </row>
    <row r="387" spans="4:6">
      <c r="D387" t="s">
        <v>1985</v>
      </c>
      <c r="F387" s="3">
        <v>1</v>
      </c>
    </row>
    <row r="388" spans="4:6">
      <c r="D388" t="s">
        <v>1128</v>
      </c>
      <c r="E388" t="s">
        <v>1732</v>
      </c>
      <c r="F388" s="3">
        <v>1</v>
      </c>
    </row>
    <row r="389" spans="4:6">
      <c r="D389" t="s">
        <v>1986</v>
      </c>
      <c r="F389" s="3">
        <v>1</v>
      </c>
    </row>
    <row r="390" spans="4:6">
      <c r="D390" t="s">
        <v>1133</v>
      </c>
      <c r="E390" t="s">
        <v>1732</v>
      </c>
      <c r="F390" s="3">
        <v>1</v>
      </c>
    </row>
    <row r="391" spans="4:6">
      <c r="D391" t="s">
        <v>1987</v>
      </c>
      <c r="F391" s="3">
        <v>1</v>
      </c>
    </row>
    <row r="392" spans="4:6">
      <c r="D392" t="s">
        <v>1194</v>
      </c>
      <c r="E392" t="s">
        <v>1988</v>
      </c>
      <c r="F392" s="3">
        <v>1</v>
      </c>
    </row>
    <row r="393" spans="4:6">
      <c r="D393" t="s">
        <v>1989</v>
      </c>
      <c r="F393" s="3">
        <v>1</v>
      </c>
    </row>
    <row r="394" spans="4:6">
      <c r="D394" t="s">
        <v>227</v>
      </c>
      <c r="E394" t="s">
        <v>1990</v>
      </c>
      <c r="F394" s="3">
        <v>1</v>
      </c>
    </row>
    <row r="395" spans="4:6">
      <c r="D395" t="s">
        <v>1991</v>
      </c>
      <c r="F395" s="3">
        <v>1</v>
      </c>
    </row>
    <row r="396" spans="4:6">
      <c r="D396" t="s">
        <v>119</v>
      </c>
      <c r="E396" t="s">
        <v>1992</v>
      </c>
      <c r="F396" s="3">
        <v>1</v>
      </c>
    </row>
    <row r="397" spans="4:6">
      <c r="D397" t="s">
        <v>1993</v>
      </c>
      <c r="F397" s="3">
        <v>1</v>
      </c>
    </row>
    <row r="398" spans="4:6">
      <c r="D398" t="s">
        <v>1471</v>
      </c>
      <c r="E398" t="s">
        <v>1732</v>
      </c>
      <c r="F398" s="3">
        <v>1</v>
      </c>
    </row>
    <row r="399" spans="4:6">
      <c r="D399" t="s">
        <v>1994</v>
      </c>
      <c r="F399" s="3">
        <v>1</v>
      </c>
    </row>
    <row r="400" spans="4:6">
      <c r="D400" t="s">
        <v>1437</v>
      </c>
      <c r="E400" t="s">
        <v>1732</v>
      </c>
      <c r="F400" s="3">
        <v>1</v>
      </c>
    </row>
    <row r="401" spans="4:6">
      <c r="D401" t="s">
        <v>1995</v>
      </c>
      <c r="F401" s="3">
        <v>1</v>
      </c>
    </row>
    <row r="402" spans="4:6">
      <c r="D402" t="s">
        <v>737</v>
      </c>
      <c r="E402" t="s">
        <v>1732</v>
      </c>
      <c r="F402" s="3">
        <v>1</v>
      </c>
    </row>
    <row r="403" spans="4:6">
      <c r="D403" t="s">
        <v>1996</v>
      </c>
      <c r="F403" s="3">
        <v>1</v>
      </c>
    </row>
    <row r="404" spans="4:6">
      <c r="D404" t="s">
        <v>1476</v>
      </c>
      <c r="E404" t="s">
        <v>1732</v>
      </c>
      <c r="F404" s="3">
        <v>1</v>
      </c>
    </row>
    <row r="405" spans="4:6">
      <c r="D405" t="s">
        <v>1997</v>
      </c>
      <c r="F405" s="3">
        <v>1</v>
      </c>
    </row>
    <row r="406" spans="4:6">
      <c r="D406" t="s">
        <v>1457</v>
      </c>
      <c r="E406" t="s">
        <v>1763</v>
      </c>
      <c r="F406" s="3">
        <v>1</v>
      </c>
    </row>
    <row r="407" spans="4:6">
      <c r="D407" t="s">
        <v>1998</v>
      </c>
      <c r="F407" s="3">
        <v>1</v>
      </c>
    </row>
    <row r="408" spans="4:6">
      <c r="D408" t="s">
        <v>1486</v>
      </c>
      <c r="E408" t="s">
        <v>1732</v>
      </c>
      <c r="F408" s="3">
        <v>1</v>
      </c>
    </row>
    <row r="409" spans="4:6">
      <c r="D409" t="s">
        <v>1999</v>
      </c>
      <c r="F409" s="3">
        <v>1</v>
      </c>
    </row>
    <row r="410" spans="4:6">
      <c r="D410" t="s">
        <v>1534</v>
      </c>
      <c r="E410" t="s">
        <v>1732</v>
      </c>
      <c r="F410" s="3">
        <v>1</v>
      </c>
    </row>
    <row r="411" spans="4:6">
      <c r="D411" t="s">
        <v>2000</v>
      </c>
      <c r="F411" s="3">
        <v>1</v>
      </c>
    </row>
    <row r="412" spans="4:6">
      <c r="D412" t="s">
        <v>1585</v>
      </c>
      <c r="E412" t="s">
        <v>1732</v>
      </c>
      <c r="F412" s="3">
        <v>1</v>
      </c>
    </row>
    <row r="413" spans="4:6">
      <c r="D413" t="s">
        <v>2001</v>
      </c>
      <c r="F413" s="3">
        <v>1</v>
      </c>
    </row>
    <row r="414" spans="4:6">
      <c r="D414" t="s">
        <v>1693</v>
      </c>
      <c r="E414" t="s">
        <v>1732</v>
      </c>
      <c r="F414" s="3">
        <v>1</v>
      </c>
    </row>
    <row r="415" spans="4:6">
      <c r="D415" t="s">
        <v>2002</v>
      </c>
      <c r="F415" s="3">
        <v>1</v>
      </c>
    </row>
    <row r="416" spans="4:6">
      <c r="D416" t="s">
        <v>1379</v>
      </c>
      <c r="E416" t="s">
        <v>1732</v>
      </c>
      <c r="F416" s="3">
        <v>1</v>
      </c>
    </row>
    <row r="417" spans="4:6">
      <c r="D417" t="s">
        <v>2003</v>
      </c>
      <c r="F417" s="3">
        <v>1</v>
      </c>
    </row>
    <row r="418" spans="4:6">
      <c r="D418" t="s">
        <v>312</v>
      </c>
      <c r="E418" t="s">
        <v>1732</v>
      </c>
      <c r="F418" s="3">
        <v>1</v>
      </c>
    </row>
    <row r="419" spans="4:6">
      <c r="D419" t="s">
        <v>2004</v>
      </c>
      <c r="F419" s="3">
        <v>1</v>
      </c>
    </row>
    <row r="420" spans="4:6">
      <c r="D420" t="s">
        <v>495</v>
      </c>
      <c r="E420" t="s">
        <v>1732</v>
      </c>
      <c r="F420" s="3">
        <v>2</v>
      </c>
    </row>
    <row r="421" spans="4:6">
      <c r="D421" t="s">
        <v>2005</v>
      </c>
      <c r="F421" s="3">
        <v>2</v>
      </c>
    </row>
    <row r="422" spans="4:6">
      <c r="D422" t="s">
        <v>210</v>
      </c>
      <c r="E422" t="s">
        <v>2006</v>
      </c>
      <c r="F422" s="3">
        <v>1</v>
      </c>
    </row>
    <row r="423" spans="4:6">
      <c r="D423" t="s">
        <v>2007</v>
      </c>
      <c r="F423" s="3">
        <v>1</v>
      </c>
    </row>
    <row r="424" spans="4:6">
      <c r="D424" t="s">
        <v>353</v>
      </c>
      <c r="E424" t="s">
        <v>2008</v>
      </c>
      <c r="F424" s="3">
        <v>1</v>
      </c>
    </row>
    <row r="425" spans="4:6">
      <c r="D425" t="s">
        <v>2009</v>
      </c>
      <c r="F425" s="3">
        <v>1</v>
      </c>
    </row>
    <row r="426" spans="4:6">
      <c r="D426" t="s">
        <v>219</v>
      </c>
      <c r="E426" t="s">
        <v>2010</v>
      </c>
      <c r="F426" s="3">
        <v>1</v>
      </c>
    </row>
    <row r="427" spans="4:6">
      <c r="D427" t="s">
        <v>2011</v>
      </c>
      <c r="F427" s="3">
        <v>1</v>
      </c>
    </row>
    <row r="428" spans="4:6">
      <c r="D428" t="s">
        <v>307</v>
      </c>
      <c r="E428" t="s">
        <v>2012</v>
      </c>
      <c r="F428" s="3">
        <v>1</v>
      </c>
    </row>
    <row r="429" spans="4:6">
      <c r="D429" t="s">
        <v>2013</v>
      </c>
      <c r="F429" s="3">
        <v>1</v>
      </c>
    </row>
    <row r="430" spans="4:6">
      <c r="D430" t="s">
        <v>1167</v>
      </c>
      <c r="E430" t="s">
        <v>1878</v>
      </c>
      <c r="F430" s="3">
        <v>1</v>
      </c>
    </row>
    <row r="431" spans="4:6">
      <c r="D431" t="s">
        <v>2014</v>
      </c>
      <c r="F431" s="3">
        <v>1</v>
      </c>
    </row>
    <row r="432" spans="4:6">
      <c r="D432" t="s">
        <v>1199</v>
      </c>
      <c r="E432" t="s">
        <v>2015</v>
      </c>
      <c r="F432" s="3">
        <v>1</v>
      </c>
    </row>
    <row r="433" spans="4:6">
      <c r="D433" t="s">
        <v>2016</v>
      </c>
      <c r="F433" s="3">
        <v>1</v>
      </c>
    </row>
    <row r="434" spans="4:6">
      <c r="D434" t="s">
        <v>1389</v>
      </c>
      <c r="E434" t="s">
        <v>1732</v>
      </c>
      <c r="F434" s="3">
        <v>1</v>
      </c>
    </row>
    <row r="435" spans="4:6">
      <c r="D435" t="s">
        <v>2017</v>
      </c>
      <c r="F435" s="3">
        <v>1</v>
      </c>
    </row>
    <row r="436" spans="4:6">
      <c r="D436" t="s">
        <v>258</v>
      </c>
      <c r="E436" t="s">
        <v>1732</v>
      </c>
      <c r="F436" s="3">
        <v>1</v>
      </c>
    </row>
    <row r="437" spans="4:6">
      <c r="D437" t="s">
        <v>2018</v>
      </c>
      <c r="F437" s="3">
        <v>1</v>
      </c>
    </row>
    <row r="438" spans="4:6">
      <c r="D438" t="s">
        <v>847</v>
      </c>
      <c r="E438" t="s">
        <v>2019</v>
      </c>
      <c r="F438" s="3">
        <v>1</v>
      </c>
    </row>
    <row r="439" spans="4:6">
      <c r="D439" t="s">
        <v>2020</v>
      </c>
      <c r="F439" s="3">
        <v>1</v>
      </c>
    </row>
    <row r="440" spans="4:6">
      <c r="D440" t="s">
        <v>206</v>
      </c>
      <c r="E440" t="s">
        <v>1732</v>
      </c>
      <c r="F440" s="3">
        <v>1</v>
      </c>
    </row>
    <row r="441" spans="4:6">
      <c r="D441" t="s">
        <v>2021</v>
      </c>
      <c r="F441" s="3">
        <v>1</v>
      </c>
    </row>
    <row r="442" spans="4:6">
      <c r="D442" t="s">
        <v>1342</v>
      </c>
      <c r="E442" t="s">
        <v>2022</v>
      </c>
      <c r="F442" s="3">
        <v>1</v>
      </c>
    </row>
    <row r="443" spans="4:6">
      <c r="D443" t="s">
        <v>2023</v>
      </c>
      <c r="F443" s="3">
        <v>1</v>
      </c>
    </row>
    <row r="444" spans="4:6">
      <c r="D444" t="s">
        <v>528</v>
      </c>
      <c r="E444" t="s">
        <v>1732</v>
      </c>
      <c r="F444" s="3">
        <v>1</v>
      </c>
    </row>
    <row r="445" spans="4:6">
      <c r="D445" t="s">
        <v>2024</v>
      </c>
      <c r="F445" s="3">
        <v>1</v>
      </c>
    </row>
    <row r="446" spans="4:6">
      <c r="D446" t="s">
        <v>1405</v>
      </c>
      <c r="E446" t="s">
        <v>1732</v>
      </c>
      <c r="F446" s="3">
        <v>1</v>
      </c>
    </row>
    <row r="447" spans="4:6">
      <c r="D447" t="s">
        <v>2025</v>
      </c>
      <c r="F447" s="3">
        <v>1</v>
      </c>
    </row>
    <row r="448" spans="4:6">
      <c r="D448" t="s">
        <v>963</v>
      </c>
      <c r="E448" t="s">
        <v>1732</v>
      </c>
      <c r="F448" s="3">
        <v>1</v>
      </c>
    </row>
    <row r="449" spans="4:6">
      <c r="D449" t="s">
        <v>2026</v>
      </c>
      <c r="F449" s="3">
        <v>1</v>
      </c>
    </row>
    <row r="450" spans="4:6">
      <c r="D450" t="s">
        <v>1442</v>
      </c>
      <c r="E450" t="s">
        <v>1732</v>
      </c>
      <c r="F450" s="3">
        <v>1</v>
      </c>
    </row>
    <row r="451" spans="4:6">
      <c r="D451" t="s">
        <v>2027</v>
      </c>
      <c r="F451" s="3">
        <v>1</v>
      </c>
    </row>
    <row r="452" spans="4:6">
      <c r="D452" t="s">
        <v>1715</v>
      </c>
      <c r="E452" t="s">
        <v>1732</v>
      </c>
      <c r="F452" s="3">
        <v>1</v>
      </c>
    </row>
    <row r="453" spans="4:6">
      <c r="D453" t="s">
        <v>2028</v>
      </c>
      <c r="F453" s="3">
        <v>1</v>
      </c>
    </row>
    <row r="454" spans="4:6">
      <c r="D454" t="s">
        <v>346</v>
      </c>
      <c r="E454" t="s">
        <v>2029</v>
      </c>
      <c r="F454" s="3">
        <v>1</v>
      </c>
    </row>
    <row r="455" spans="4:6">
      <c r="D455" t="s">
        <v>2030</v>
      </c>
      <c r="F455" s="3">
        <v>1</v>
      </c>
    </row>
    <row r="456" spans="4:6">
      <c r="D456" t="s">
        <v>1375</v>
      </c>
      <c r="E456" t="s">
        <v>2031</v>
      </c>
      <c r="F456" s="3">
        <v>1</v>
      </c>
    </row>
    <row r="457" spans="4:6">
      <c r="D457" t="s">
        <v>2032</v>
      </c>
      <c r="F457" s="3">
        <v>1</v>
      </c>
    </row>
    <row r="458" spans="4:6">
      <c r="D458" t="s">
        <v>538</v>
      </c>
      <c r="E458" t="s">
        <v>1732</v>
      </c>
      <c r="F458" s="3">
        <v>1</v>
      </c>
    </row>
    <row r="459" spans="4:6">
      <c r="D459" t="s">
        <v>2033</v>
      </c>
      <c r="F459" s="3">
        <v>1</v>
      </c>
    </row>
    <row r="460" spans="4:6">
      <c r="D460" t="s">
        <v>1660</v>
      </c>
      <c r="E460" t="s">
        <v>1732</v>
      </c>
      <c r="F460" s="3">
        <v>1</v>
      </c>
    </row>
    <row r="461" spans="4:6">
      <c r="D461" t="s">
        <v>2034</v>
      </c>
      <c r="F461" s="3">
        <v>1</v>
      </c>
    </row>
    <row r="462" spans="4:6">
      <c r="D462" t="s">
        <v>317</v>
      </c>
      <c r="E462" t="s">
        <v>2035</v>
      </c>
      <c r="F462" s="3">
        <v>1</v>
      </c>
    </row>
    <row r="463" spans="4:6">
      <c r="D463" t="s">
        <v>2036</v>
      </c>
      <c r="F463" s="3">
        <v>1</v>
      </c>
    </row>
    <row r="464" spans="4:6">
      <c r="D464" t="s">
        <v>327</v>
      </c>
      <c r="E464" t="s">
        <v>2035</v>
      </c>
      <c r="F464" s="3">
        <v>1</v>
      </c>
    </row>
    <row r="465" spans="4:6">
      <c r="D465" t="s">
        <v>2037</v>
      </c>
      <c r="F465" s="3">
        <v>1</v>
      </c>
    </row>
    <row r="466" spans="4:6">
      <c r="D466" t="s">
        <v>169</v>
      </c>
      <c r="E466" t="s">
        <v>2035</v>
      </c>
      <c r="F466" s="3">
        <v>1</v>
      </c>
    </row>
    <row r="467" spans="4:6">
      <c r="D467" t="s">
        <v>2038</v>
      </c>
      <c r="F467" s="3">
        <v>1</v>
      </c>
    </row>
    <row r="468" spans="4:6">
      <c r="D468" t="s">
        <v>999</v>
      </c>
      <c r="E468" t="s">
        <v>1732</v>
      </c>
      <c r="F468" s="3">
        <v>1</v>
      </c>
    </row>
    <row r="469" spans="4:6">
      <c r="D469" t="s">
        <v>2039</v>
      </c>
      <c r="F469" s="3">
        <v>1</v>
      </c>
    </row>
    <row r="470" spans="4:6">
      <c r="D470" t="s">
        <v>691</v>
      </c>
      <c r="E470" t="s">
        <v>2040</v>
      </c>
      <c r="F470" s="3">
        <v>1</v>
      </c>
    </row>
    <row r="471" spans="4:6">
      <c r="D471" t="s">
        <v>2041</v>
      </c>
      <c r="F471" s="3">
        <v>1</v>
      </c>
    </row>
    <row r="472" spans="4:6">
      <c r="D472" t="s">
        <v>763</v>
      </c>
      <c r="E472" t="s">
        <v>2042</v>
      </c>
      <c r="F472" s="3">
        <v>1</v>
      </c>
    </row>
    <row r="473" spans="4:6">
      <c r="D473" t="s">
        <v>2043</v>
      </c>
      <c r="F473" s="3">
        <v>1</v>
      </c>
    </row>
    <row r="474" spans="4:6">
      <c r="D474" t="s">
        <v>1649</v>
      </c>
      <c r="E474" t="s">
        <v>2044</v>
      </c>
      <c r="F474" s="3">
        <v>1</v>
      </c>
    </row>
    <row r="475" spans="4:6">
      <c r="D475" t="s">
        <v>2045</v>
      </c>
      <c r="F475" s="3">
        <v>1</v>
      </c>
    </row>
    <row r="476" spans="4:6">
      <c r="D476" t="s">
        <v>1048</v>
      </c>
      <c r="E476" t="s">
        <v>2046</v>
      </c>
      <c r="F476" s="3">
        <v>1</v>
      </c>
    </row>
    <row r="477" spans="4:6">
      <c r="D477" t="s">
        <v>2047</v>
      </c>
      <c r="F477" s="3">
        <v>1</v>
      </c>
    </row>
    <row r="478" spans="4:6">
      <c r="D478" t="s">
        <v>424</v>
      </c>
      <c r="E478" t="s">
        <v>1732</v>
      </c>
      <c r="F478" s="3">
        <v>1</v>
      </c>
    </row>
    <row r="479" spans="4:6">
      <c r="D479" t="s">
        <v>2048</v>
      </c>
      <c r="F479" s="3">
        <v>1</v>
      </c>
    </row>
    <row r="480" spans="4:6">
      <c r="D480" t="s">
        <v>1073</v>
      </c>
      <c r="E480" t="s">
        <v>1732</v>
      </c>
      <c r="F480" s="3">
        <v>1</v>
      </c>
    </row>
    <row r="481" spans="4:6">
      <c r="D481" t="s">
        <v>2049</v>
      </c>
      <c r="F481" s="3">
        <v>1</v>
      </c>
    </row>
    <row r="482" spans="4:6">
      <c r="D482" t="s">
        <v>442</v>
      </c>
      <c r="E482" t="s">
        <v>1732</v>
      </c>
      <c r="F482" s="3">
        <v>1</v>
      </c>
    </row>
    <row r="483" spans="4:6">
      <c r="D483" t="s">
        <v>2050</v>
      </c>
      <c r="F483" s="3">
        <v>1</v>
      </c>
    </row>
    <row r="484" spans="4:6">
      <c r="D484" t="s">
        <v>1310</v>
      </c>
      <c r="E484" t="s">
        <v>1732</v>
      </c>
      <c r="F484" s="3">
        <v>1</v>
      </c>
    </row>
    <row r="485" spans="4:6">
      <c r="D485" t="s">
        <v>2051</v>
      </c>
      <c r="F485" s="3">
        <v>1</v>
      </c>
    </row>
    <row r="486" spans="4:6">
      <c r="D486" t="s">
        <v>1123</v>
      </c>
      <c r="E486" t="s">
        <v>2052</v>
      </c>
      <c r="F486" s="3">
        <v>1</v>
      </c>
    </row>
    <row r="487" spans="4:6">
      <c r="D487" t="s">
        <v>2053</v>
      </c>
      <c r="F487" s="3">
        <v>1</v>
      </c>
    </row>
    <row r="488" spans="4:6">
      <c r="D488" t="s">
        <v>555</v>
      </c>
      <c r="E488" t="s">
        <v>2054</v>
      </c>
      <c r="F488" s="3">
        <v>1</v>
      </c>
    </row>
    <row r="489" spans="4:6">
      <c r="D489" t="s">
        <v>2055</v>
      </c>
      <c r="F489" s="3">
        <v>1</v>
      </c>
    </row>
    <row r="490" spans="4:6">
      <c r="D490" t="s">
        <v>458</v>
      </c>
      <c r="E490" t="s">
        <v>2056</v>
      </c>
      <c r="F490" s="3">
        <v>1</v>
      </c>
    </row>
    <row r="491" spans="4:6">
      <c r="D491" t="s">
        <v>2057</v>
      </c>
      <c r="F491" s="3">
        <v>1</v>
      </c>
    </row>
    <row r="492" spans="4:6">
      <c r="D492" t="s">
        <v>187</v>
      </c>
      <c r="E492" t="s">
        <v>2058</v>
      </c>
      <c r="F492" s="3">
        <v>1</v>
      </c>
    </row>
    <row r="493" spans="4:6">
      <c r="D493" t="s">
        <v>2059</v>
      </c>
      <c r="F493" s="3">
        <v>1</v>
      </c>
    </row>
    <row r="494" spans="4:6">
      <c r="D494" t="s">
        <v>993</v>
      </c>
      <c r="E494" t="s">
        <v>1732</v>
      </c>
      <c r="F494" s="3">
        <v>1</v>
      </c>
    </row>
    <row r="495" spans="4:6">
      <c r="D495" t="s">
        <v>2060</v>
      </c>
      <c r="F495" s="3">
        <v>1</v>
      </c>
    </row>
    <row r="496" spans="4:6">
      <c r="D496" t="s">
        <v>132</v>
      </c>
      <c r="E496" t="s">
        <v>1732</v>
      </c>
      <c r="F496" s="3">
        <v>1</v>
      </c>
    </row>
    <row r="497" spans="4:6">
      <c r="D497" t="s">
        <v>2061</v>
      </c>
      <c r="F497" s="3">
        <v>1</v>
      </c>
    </row>
    <row r="498" spans="4:6">
      <c r="D498" t="s">
        <v>733</v>
      </c>
      <c r="E498" t="s">
        <v>1732</v>
      </c>
      <c r="F498" s="3">
        <v>1</v>
      </c>
    </row>
    <row r="499" spans="4:6">
      <c r="D499" t="s">
        <v>2062</v>
      </c>
      <c r="F499" s="3">
        <v>1</v>
      </c>
    </row>
    <row r="500" spans="4:6">
      <c r="D500" t="s">
        <v>929</v>
      </c>
      <c r="E500" t="s">
        <v>1732</v>
      </c>
      <c r="F500" s="3">
        <v>1</v>
      </c>
    </row>
    <row r="501" spans="4:6">
      <c r="D501" t="s">
        <v>2063</v>
      </c>
      <c r="F501" s="3">
        <v>1</v>
      </c>
    </row>
    <row r="502" spans="4:6">
      <c r="D502" t="s">
        <v>1481</v>
      </c>
      <c r="E502" t="s">
        <v>1732</v>
      </c>
      <c r="F502" s="3">
        <v>1</v>
      </c>
    </row>
    <row r="503" spans="4:6">
      <c r="D503" t="s">
        <v>2064</v>
      </c>
      <c r="F503" s="3">
        <v>1</v>
      </c>
    </row>
    <row r="504" spans="4:6">
      <c r="D504" t="s">
        <v>959</v>
      </c>
      <c r="E504" t="s">
        <v>1732</v>
      </c>
      <c r="F504" s="3">
        <v>1</v>
      </c>
    </row>
    <row r="505" spans="4:6">
      <c r="D505" t="s">
        <v>2065</v>
      </c>
      <c r="F505" s="3">
        <v>1</v>
      </c>
    </row>
    <row r="506" spans="4:6">
      <c r="D506" t="s">
        <v>278</v>
      </c>
      <c r="E506" t="s">
        <v>1732</v>
      </c>
      <c r="F506" s="3">
        <v>1</v>
      </c>
    </row>
    <row r="507" spans="4:6">
      <c r="D507" t="s">
        <v>2066</v>
      </c>
      <c r="F507" s="3">
        <v>1</v>
      </c>
    </row>
    <row r="508" spans="4:6">
      <c r="D508" t="s">
        <v>33</v>
      </c>
      <c r="E508" t="s">
        <v>2067</v>
      </c>
      <c r="F508" s="3">
        <v>1</v>
      </c>
    </row>
    <row r="509" spans="4:6">
      <c r="D509" t="s">
        <v>2068</v>
      </c>
      <c r="F509" s="3">
        <v>1</v>
      </c>
    </row>
    <row r="510" spans="4:6">
      <c r="D510" t="s">
        <v>1511</v>
      </c>
      <c r="E510" t="s">
        <v>2069</v>
      </c>
      <c r="F510" s="3">
        <v>1</v>
      </c>
    </row>
    <row r="511" spans="4:6">
      <c r="D511" t="s">
        <v>2070</v>
      </c>
      <c r="F511" s="3">
        <v>1</v>
      </c>
    </row>
    <row r="512" spans="4:6">
      <c r="D512" t="s">
        <v>1052</v>
      </c>
      <c r="E512" t="s">
        <v>1732</v>
      </c>
      <c r="F512" s="3">
        <v>1</v>
      </c>
    </row>
    <row r="513" spans="4:6">
      <c r="D513" t="s">
        <v>2071</v>
      </c>
      <c r="F513" s="3">
        <v>1</v>
      </c>
    </row>
    <row r="514" spans="4:6">
      <c r="D514" t="s">
        <v>127</v>
      </c>
      <c r="E514" t="s">
        <v>2072</v>
      </c>
      <c r="F514" s="3">
        <v>1</v>
      </c>
    </row>
    <row r="515" spans="4:6">
      <c r="D515" t="s">
        <v>2073</v>
      </c>
      <c r="F515" s="3">
        <v>1</v>
      </c>
    </row>
    <row r="516" spans="4:6">
      <c r="D516" t="s">
        <v>679</v>
      </c>
      <c r="E516" t="s">
        <v>2074</v>
      </c>
      <c r="F516" s="3">
        <v>1</v>
      </c>
    </row>
    <row r="517" spans="4:6">
      <c r="D517" t="s">
        <v>2075</v>
      </c>
      <c r="F517" s="3">
        <v>1</v>
      </c>
    </row>
    <row r="518" spans="4:6">
      <c r="D518" t="s">
        <v>796</v>
      </c>
      <c r="E518" t="s">
        <v>1732</v>
      </c>
      <c r="F518" s="3">
        <v>1</v>
      </c>
    </row>
    <row r="519" spans="4:6">
      <c r="D519" t="s">
        <v>2076</v>
      </c>
      <c r="F519" s="3">
        <v>1</v>
      </c>
    </row>
    <row r="520" spans="4:6">
      <c r="D520" t="s">
        <v>867</v>
      </c>
      <c r="E520" t="s">
        <v>1732</v>
      </c>
      <c r="F520" s="3">
        <v>1</v>
      </c>
    </row>
    <row r="521" spans="4:6">
      <c r="D521" t="s">
        <v>2077</v>
      </c>
      <c r="F521" s="3">
        <v>1</v>
      </c>
    </row>
    <row r="522" spans="4:6">
      <c r="D522" t="s">
        <v>1320</v>
      </c>
      <c r="E522" t="s">
        <v>2078</v>
      </c>
      <c r="F522" s="3">
        <v>1</v>
      </c>
    </row>
    <row r="523" spans="4:6">
      <c r="D523" t="s">
        <v>2079</v>
      </c>
      <c r="F523" s="3">
        <v>1</v>
      </c>
    </row>
    <row r="524" spans="4:6">
      <c r="D524" t="s">
        <v>617</v>
      </c>
      <c r="E524" t="s">
        <v>1732</v>
      </c>
      <c r="F524" s="3">
        <v>1</v>
      </c>
    </row>
    <row r="525" spans="4:6">
      <c r="D525" t="s">
        <v>2080</v>
      </c>
      <c r="F525" s="3">
        <v>1</v>
      </c>
    </row>
    <row r="526" spans="4:6">
      <c r="D526" t="s">
        <v>1179</v>
      </c>
      <c r="E526" t="s">
        <v>1732</v>
      </c>
      <c r="F526" s="3">
        <v>1</v>
      </c>
    </row>
    <row r="527" spans="4:6">
      <c r="D527" t="s">
        <v>2081</v>
      </c>
      <c r="F527" s="3">
        <v>1</v>
      </c>
    </row>
    <row r="528" spans="4:6">
      <c r="D528" t="s">
        <v>1672</v>
      </c>
      <c r="E528" t="s">
        <v>1732</v>
      </c>
      <c r="F528" s="3">
        <v>1</v>
      </c>
    </row>
    <row r="529" spans="4:6">
      <c r="D529" t="s">
        <v>2082</v>
      </c>
      <c r="F529" s="3">
        <v>1</v>
      </c>
    </row>
    <row r="530" spans="4:6">
      <c r="D530" t="s">
        <v>267</v>
      </c>
      <c r="E530" t="s">
        <v>1732</v>
      </c>
      <c r="F530" s="3">
        <v>1</v>
      </c>
    </row>
    <row r="531" spans="4:6">
      <c r="D531" t="s">
        <v>2083</v>
      </c>
      <c r="F531" s="3">
        <v>1</v>
      </c>
    </row>
    <row r="532" spans="4:6">
      <c r="D532" t="s">
        <v>983</v>
      </c>
      <c r="E532" t="s">
        <v>1732</v>
      </c>
      <c r="F532" s="3">
        <v>1</v>
      </c>
    </row>
    <row r="533" spans="4:6">
      <c r="D533" t="s">
        <v>2084</v>
      </c>
      <c r="F533" s="3">
        <v>1</v>
      </c>
    </row>
    <row r="534" spans="4:6">
      <c r="D534" t="s">
        <v>296</v>
      </c>
      <c r="E534" t="s">
        <v>1732</v>
      </c>
      <c r="F534" s="3">
        <v>1</v>
      </c>
    </row>
    <row r="535" spans="4:6">
      <c r="D535" t="s">
        <v>2085</v>
      </c>
      <c r="F535" s="3">
        <v>1</v>
      </c>
    </row>
    <row r="536" spans="4:6">
      <c r="D536" t="s">
        <v>645</v>
      </c>
      <c r="E536" t="s">
        <v>1732</v>
      </c>
      <c r="F536" s="3">
        <v>1</v>
      </c>
    </row>
    <row r="537" spans="4:6">
      <c r="D537" t="s">
        <v>2086</v>
      </c>
      <c r="F537" s="3">
        <v>1</v>
      </c>
    </row>
    <row r="538" spans="4:6">
      <c r="D538" t="s">
        <v>432</v>
      </c>
      <c r="E538" t="s">
        <v>1732</v>
      </c>
      <c r="F538" s="3">
        <v>1</v>
      </c>
    </row>
    <row r="539" spans="4:6">
      <c r="D539" t="s">
        <v>2087</v>
      </c>
      <c r="F539" s="3">
        <v>1</v>
      </c>
    </row>
    <row r="540" spans="4:6">
      <c r="D540" t="s">
        <v>934</v>
      </c>
      <c r="E540" t="s">
        <v>2088</v>
      </c>
      <c r="F540" s="3">
        <v>1</v>
      </c>
    </row>
    <row r="541" spans="4:6">
      <c r="D541" t="s">
        <v>2089</v>
      </c>
      <c r="F541" s="3">
        <v>1</v>
      </c>
    </row>
    <row r="542" spans="4:6">
      <c r="D542" t="s">
        <v>1240</v>
      </c>
      <c r="E542" t="s">
        <v>2088</v>
      </c>
      <c r="F542" s="3">
        <v>1</v>
      </c>
    </row>
    <row r="543" spans="4:6">
      <c r="D543" t="s">
        <v>2090</v>
      </c>
      <c r="F543" s="3">
        <v>1</v>
      </c>
    </row>
    <row r="544" spans="4:6">
      <c r="D544" t="s">
        <v>448</v>
      </c>
      <c r="E544" t="s">
        <v>1732</v>
      </c>
      <c r="F544" s="3">
        <v>1</v>
      </c>
    </row>
    <row r="545" spans="4:6">
      <c r="D545" t="s">
        <v>2091</v>
      </c>
      <c r="F545" s="3">
        <v>1</v>
      </c>
    </row>
    <row r="546" spans="4:6">
      <c r="D546" t="s">
        <v>547</v>
      </c>
      <c r="E546" t="s">
        <v>1732</v>
      </c>
      <c r="F546" s="3">
        <v>1</v>
      </c>
    </row>
    <row r="547" spans="4:6">
      <c r="D547" t="s">
        <v>2092</v>
      </c>
      <c r="F547" s="3">
        <v>1</v>
      </c>
    </row>
    <row r="548" spans="4:6">
      <c r="D548" t="s">
        <v>1062</v>
      </c>
      <c r="E548" t="s">
        <v>1732</v>
      </c>
      <c r="F548" s="3">
        <v>1</v>
      </c>
    </row>
    <row r="549" spans="4:6">
      <c r="D549" t="s">
        <v>2093</v>
      </c>
      <c r="F549" s="3">
        <v>1</v>
      </c>
    </row>
    <row r="550" spans="4:6">
      <c r="D550" t="s">
        <v>1204</v>
      </c>
      <c r="E550" t="s">
        <v>2094</v>
      </c>
      <c r="F550" s="3">
        <v>1</v>
      </c>
    </row>
    <row r="551" spans="4:6">
      <c r="D551" t="s">
        <v>2095</v>
      </c>
      <c r="F551" s="3">
        <v>1</v>
      </c>
    </row>
    <row r="552" spans="4:6">
      <c r="D552" t="s">
        <v>1274</v>
      </c>
      <c r="E552" t="s">
        <v>1732</v>
      </c>
      <c r="F552" s="3">
        <v>1</v>
      </c>
    </row>
    <row r="553" spans="4:6">
      <c r="D553" t="s">
        <v>2096</v>
      </c>
      <c r="F553" s="3">
        <v>1</v>
      </c>
    </row>
    <row r="554" spans="4:6">
      <c r="D554" t="s">
        <v>1358</v>
      </c>
      <c r="E554" t="s">
        <v>1732</v>
      </c>
      <c r="F554" s="3">
        <v>1</v>
      </c>
    </row>
    <row r="555" spans="4:6">
      <c r="D555" t="s">
        <v>2097</v>
      </c>
      <c r="F555" s="3">
        <v>1</v>
      </c>
    </row>
    <row r="556" spans="4:6">
      <c r="D556" t="s">
        <v>1361</v>
      </c>
      <c r="E556" t="s">
        <v>1732</v>
      </c>
      <c r="F556" s="3">
        <v>1</v>
      </c>
    </row>
    <row r="557" spans="4:6">
      <c r="D557" t="s">
        <v>2098</v>
      </c>
      <c r="F557" s="3">
        <v>1</v>
      </c>
    </row>
    <row r="558" spans="4:6">
      <c r="D558" t="s">
        <v>107</v>
      </c>
      <c r="E558" t="s">
        <v>1732</v>
      </c>
      <c r="F558" s="3">
        <v>1</v>
      </c>
    </row>
    <row r="559" spans="4:6">
      <c r="D559" t="s">
        <v>2099</v>
      </c>
      <c r="F559" s="3">
        <v>1</v>
      </c>
    </row>
    <row r="560" spans="4:6">
      <c r="D560" t="s">
        <v>774</v>
      </c>
      <c r="E560" t="s">
        <v>2100</v>
      </c>
      <c r="F560" s="3">
        <v>1</v>
      </c>
    </row>
    <row r="561" spans="4:6">
      <c r="D561" t="s">
        <v>2101</v>
      </c>
      <c r="F561" s="3">
        <v>1</v>
      </c>
    </row>
    <row r="562" spans="4:6">
      <c r="D562" t="s">
        <v>1089</v>
      </c>
      <c r="E562" t="s">
        <v>1732</v>
      </c>
      <c r="F562" s="3">
        <v>1</v>
      </c>
    </row>
    <row r="563" spans="4:6">
      <c r="D563" t="s">
        <v>2102</v>
      </c>
      <c r="F563" s="3">
        <v>1</v>
      </c>
    </row>
    <row r="564" spans="4:6">
      <c r="D564" t="s">
        <v>1251</v>
      </c>
      <c r="E564" t="s">
        <v>1732</v>
      </c>
      <c r="F564" s="3">
        <v>1</v>
      </c>
    </row>
    <row r="565" spans="4:6">
      <c r="D565" t="s">
        <v>2103</v>
      </c>
      <c r="F565" s="3">
        <v>1</v>
      </c>
    </row>
    <row r="566" spans="4:6">
      <c r="D566" t="s">
        <v>233</v>
      </c>
      <c r="E566" t="s">
        <v>1732</v>
      </c>
      <c r="F566" s="3">
        <v>1</v>
      </c>
    </row>
    <row r="567" spans="4:6">
      <c r="D567" t="s">
        <v>2104</v>
      </c>
      <c r="F567" s="3">
        <v>1</v>
      </c>
    </row>
    <row r="568" spans="4:6">
      <c r="D568" t="s">
        <v>759</v>
      </c>
      <c r="E568" t="s">
        <v>1732</v>
      </c>
      <c r="F568" s="3">
        <v>1</v>
      </c>
    </row>
    <row r="569" spans="4:6">
      <c r="D569" t="s">
        <v>2105</v>
      </c>
      <c r="F569" s="3">
        <v>1</v>
      </c>
    </row>
    <row r="570" spans="4:6">
      <c r="D570" t="s">
        <v>159</v>
      </c>
      <c r="E570" t="s">
        <v>2106</v>
      </c>
      <c r="F570" s="3">
        <v>1</v>
      </c>
    </row>
    <row r="571" spans="4:6">
      <c r="D571" t="s">
        <v>2107</v>
      </c>
      <c r="F571" s="3">
        <v>1</v>
      </c>
    </row>
    <row r="572" spans="4:6">
      <c r="D572" t="s">
        <v>215</v>
      </c>
      <c r="E572" t="s">
        <v>1732</v>
      </c>
      <c r="F572" s="3">
        <v>1</v>
      </c>
    </row>
    <row r="573" spans="4:6">
      <c r="D573" t="s">
        <v>2108</v>
      </c>
      <c r="F573" s="3">
        <v>1</v>
      </c>
    </row>
    <row r="574" spans="4:6">
      <c r="D574" t="s">
        <v>753</v>
      </c>
      <c r="E574" t="s">
        <v>2109</v>
      </c>
      <c r="F574" s="3">
        <v>1</v>
      </c>
    </row>
    <row r="575" spans="4:6">
      <c r="D575" t="s">
        <v>2110</v>
      </c>
      <c r="F575" s="3">
        <v>1</v>
      </c>
    </row>
    <row r="576" spans="4:6">
      <c r="D576" t="s">
        <v>606</v>
      </c>
      <c r="E576" t="s">
        <v>1732</v>
      </c>
      <c r="F576" s="3">
        <v>1</v>
      </c>
    </row>
    <row r="577" spans="4:6">
      <c r="D577" t="s">
        <v>2111</v>
      </c>
      <c r="F577" s="3">
        <v>1</v>
      </c>
    </row>
    <row r="578" spans="4:6">
      <c r="D578" t="s">
        <v>301</v>
      </c>
      <c r="E578" t="s">
        <v>2112</v>
      </c>
      <c r="F578" s="3">
        <v>1</v>
      </c>
    </row>
    <row r="579" spans="4:6">
      <c r="D579" t="s">
        <v>2113</v>
      </c>
      <c r="F579" s="3">
        <v>1</v>
      </c>
    </row>
    <row r="580" spans="4:6">
      <c r="D580" t="s">
        <v>805</v>
      </c>
      <c r="E580" t="s">
        <v>1732</v>
      </c>
      <c r="F580" s="3">
        <v>1</v>
      </c>
    </row>
    <row r="581" spans="4:6">
      <c r="D581" t="s">
        <v>2114</v>
      </c>
      <c r="F581" s="3">
        <v>1</v>
      </c>
    </row>
    <row r="582" spans="4:6">
      <c r="D582" t="s">
        <v>853</v>
      </c>
      <c r="E582" t="s">
        <v>1732</v>
      </c>
      <c r="F582" s="3">
        <v>4</v>
      </c>
    </row>
    <row r="583" spans="4:6">
      <c r="D583" t="s">
        <v>2115</v>
      </c>
      <c r="F583" s="3">
        <v>4</v>
      </c>
    </row>
    <row r="584" spans="4:6">
      <c r="D584" t="s">
        <v>862</v>
      </c>
      <c r="E584" t="s">
        <v>1732</v>
      </c>
      <c r="F584" s="3">
        <v>1</v>
      </c>
    </row>
    <row r="585" spans="4:6">
      <c r="D585" t="s">
        <v>2116</v>
      </c>
      <c r="F585" s="3">
        <v>1</v>
      </c>
    </row>
    <row r="586" spans="4:6">
      <c r="D586" t="s">
        <v>857</v>
      </c>
      <c r="E586" t="s">
        <v>1732</v>
      </c>
      <c r="F586" s="3">
        <v>1</v>
      </c>
    </row>
    <row r="587" spans="4:6">
      <c r="D587" t="s">
        <v>2117</v>
      </c>
      <c r="F587" s="3">
        <v>1</v>
      </c>
    </row>
    <row r="588" spans="4:6">
      <c r="D588" t="s">
        <v>74</v>
      </c>
      <c r="E588" t="s">
        <v>1732</v>
      </c>
      <c r="F588" s="3">
        <v>1</v>
      </c>
    </row>
    <row r="589" spans="4:6">
      <c r="D589" t="s">
        <v>2118</v>
      </c>
      <c r="F589" s="3">
        <v>1</v>
      </c>
    </row>
    <row r="590" spans="4:6">
      <c r="D590" t="s">
        <v>1548</v>
      </c>
      <c r="E590" t="s">
        <v>2119</v>
      </c>
      <c r="F590" s="3">
        <v>1</v>
      </c>
    </row>
    <row r="591" spans="4:6">
      <c r="D591" t="s">
        <v>2120</v>
      </c>
      <c r="F591" s="3">
        <v>1</v>
      </c>
    </row>
    <row r="592" spans="4:6">
      <c r="D592" t="s">
        <v>1384</v>
      </c>
      <c r="E592" t="s">
        <v>2119</v>
      </c>
      <c r="F592" s="3">
        <v>1</v>
      </c>
    </row>
    <row r="593" spans="4:6">
      <c r="D593" t="s">
        <v>2121</v>
      </c>
      <c r="F593" s="3">
        <v>1</v>
      </c>
    </row>
    <row r="594" spans="4:6">
      <c r="D594" t="s">
        <v>1563</v>
      </c>
      <c r="E594" t="s">
        <v>1732</v>
      </c>
      <c r="F594" s="3">
        <v>1</v>
      </c>
    </row>
    <row r="595" spans="4:6">
      <c r="D595" t="s">
        <v>2122</v>
      </c>
      <c r="F595" s="3">
        <v>1</v>
      </c>
    </row>
    <row r="596" spans="4:6">
      <c r="D596" t="s">
        <v>1664</v>
      </c>
      <c r="E596" t="s">
        <v>1732</v>
      </c>
      <c r="F596" s="3">
        <v>1</v>
      </c>
    </row>
    <row r="597" spans="4:6">
      <c r="D597" t="s">
        <v>2123</v>
      </c>
      <c r="F597" s="3">
        <v>1</v>
      </c>
    </row>
    <row r="598" spans="4:6">
      <c r="D598" t="s">
        <v>1523</v>
      </c>
      <c r="E598" t="s">
        <v>2124</v>
      </c>
      <c r="F598" s="3">
        <v>1</v>
      </c>
    </row>
    <row r="599" spans="4:6">
      <c r="D599" t="s">
        <v>2125</v>
      </c>
      <c r="F599" s="3">
        <v>1</v>
      </c>
    </row>
    <row r="600" spans="4:6">
      <c r="D600" t="s">
        <v>1612</v>
      </c>
      <c r="E600" t="s">
        <v>1732</v>
      </c>
      <c r="F600" s="3">
        <v>1</v>
      </c>
    </row>
    <row r="601" spans="4:6">
      <c r="D601" t="s">
        <v>2126</v>
      </c>
      <c r="F601" s="3">
        <v>1</v>
      </c>
    </row>
    <row r="602" spans="4:6">
      <c r="D602" t="s">
        <v>1629</v>
      </c>
      <c r="E602" t="s">
        <v>1732</v>
      </c>
      <c r="F602" s="3">
        <v>1</v>
      </c>
    </row>
    <row r="603" spans="4:6">
      <c r="D603" t="s">
        <v>2127</v>
      </c>
      <c r="F603" s="3">
        <v>1</v>
      </c>
    </row>
    <row r="604" spans="4:6">
      <c r="D604" t="s">
        <v>1697</v>
      </c>
      <c r="E604" t="s">
        <v>1732</v>
      </c>
      <c r="F604" s="3">
        <v>1</v>
      </c>
    </row>
    <row r="605" spans="4:6">
      <c r="D605" t="s">
        <v>2128</v>
      </c>
      <c r="F605" s="3">
        <v>1</v>
      </c>
    </row>
    <row r="606" spans="4:6">
      <c r="D606" t="s">
        <v>1710</v>
      </c>
      <c r="E606" t="s">
        <v>1732</v>
      </c>
      <c r="F606" s="3">
        <v>1</v>
      </c>
    </row>
    <row r="607" spans="4:6">
      <c r="D607" t="s">
        <v>2129</v>
      </c>
      <c r="F607" s="3">
        <v>1</v>
      </c>
    </row>
    <row r="608" spans="4:6">
      <c r="D608" t="s">
        <v>585</v>
      </c>
      <c r="E608" t="s">
        <v>2130</v>
      </c>
      <c r="F608" s="3">
        <v>1</v>
      </c>
    </row>
    <row r="609" spans="4:6">
      <c r="D609" t="s">
        <v>2131</v>
      </c>
      <c r="F609" s="3">
        <v>1</v>
      </c>
    </row>
    <row r="610" spans="4:6">
      <c r="D610" t="s">
        <v>945</v>
      </c>
      <c r="E610" t="s">
        <v>1732</v>
      </c>
      <c r="F610" s="3">
        <v>1</v>
      </c>
    </row>
    <row r="611" spans="4:6">
      <c r="D611" t="s">
        <v>2132</v>
      </c>
      <c r="F611" s="3">
        <v>1</v>
      </c>
    </row>
    <row r="612" spans="4:6">
      <c r="D612" t="s">
        <v>155</v>
      </c>
      <c r="E612" t="s">
        <v>1732</v>
      </c>
      <c r="F612" s="3">
        <v>1</v>
      </c>
    </row>
    <row r="613" spans="4:6">
      <c r="D613" t="s">
        <v>2133</v>
      </c>
      <c r="F613" s="3">
        <v>1</v>
      </c>
    </row>
    <row r="614" spans="4:6">
      <c r="D614" t="s">
        <v>483</v>
      </c>
      <c r="E614" t="s">
        <v>1732</v>
      </c>
      <c r="F614" s="3">
        <v>1</v>
      </c>
    </row>
    <row r="615" spans="4:6">
      <c r="D615" t="s">
        <v>2134</v>
      </c>
      <c r="F615" s="3">
        <v>1</v>
      </c>
    </row>
    <row r="616" spans="4:6">
      <c r="D616" t="s">
        <v>695</v>
      </c>
      <c r="E616" t="s">
        <v>1732</v>
      </c>
      <c r="F616" s="3">
        <v>1</v>
      </c>
    </row>
    <row r="617" spans="4:6">
      <c r="D617" t="s">
        <v>2135</v>
      </c>
      <c r="F617" s="3">
        <v>1</v>
      </c>
    </row>
    <row r="618" spans="4:6">
      <c r="D618" t="s">
        <v>523</v>
      </c>
      <c r="E618" t="s">
        <v>1732</v>
      </c>
      <c r="F618" s="3">
        <v>1</v>
      </c>
    </row>
    <row r="619" spans="4:6">
      <c r="D619" t="s">
        <v>2136</v>
      </c>
      <c r="F619" s="3">
        <v>1</v>
      </c>
    </row>
    <row r="620" spans="4:6">
      <c r="D620" t="s">
        <v>102</v>
      </c>
      <c r="E620" t="s">
        <v>1732</v>
      </c>
      <c r="F620" s="3">
        <v>1</v>
      </c>
    </row>
    <row r="621" spans="4:6">
      <c r="D621" t="s">
        <v>2137</v>
      </c>
      <c r="F621" s="3">
        <v>1</v>
      </c>
    </row>
    <row r="622" spans="4:6">
      <c r="D622" t="s">
        <v>563</v>
      </c>
      <c r="E622" t="s">
        <v>1732</v>
      </c>
      <c r="F622" s="3">
        <v>1</v>
      </c>
    </row>
    <row r="623" spans="4:6">
      <c r="D623" t="s">
        <v>2138</v>
      </c>
      <c r="F623" s="3">
        <v>1</v>
      </c>
    </row>
    <row r="624" spans="4:6">
      <c r="D624" t="s">
        <v>955</v>
      </c>
      <c r="E624" t="s">
        <v>2139</v>
      </c>
      <c r="F624" s="3">
        <v>1</v>
      </c>
    </row>
    <row r="625" spans="4:6">
      <c r="D625" t="s">
        <v>2140</v>
      </c>
      <c r="F625" s="3">
        <v>1</v>
      </c>
    </row>
    <row r="626" spans="4:6">
      <c r="D626" t="s">
        <v>1453</v>
      </c>
      <c r="E626" t="s">
        <v>2141</v>
      </c>
      <c r="F626" s="3">
        <v>1</v>
      </c>
    </row>
    <row r="627" spans="4:6">
      <c r="D627" t="s">
        <v>2142</v>
      </c>
      <c r="F627" s="3">
        <v>1</v>
      </c>
    </row>
    <row r="628" spans="4:6">
      <c r="D628" t="s">
        <v>704</v>
      </c>
      <c r="E628" t="s">
        <v>2143</v>
      </c>
      <c r="F628" s="3">
        <v>1</v>
      </c>
    </row>
    <row r="629" spans="4:6">
      <c r="D629" t="s">
        <v>2144</v>
      </c>
      <c r="F629" s="3">
        <v>1</v>
      </c>
    </row>
    <row r="630" spans="4:6">
      <c r="D630" t="s">
        <v>635</v>
      </c>
      <c r="E630" t="s">
        <v>2145</v>
      </c>
      <c r="F630" s="3">
        <v>1</v>
      </c>
    </row>
    <row r="631" spans="4:6">
      <c r="D631" t="s">
        <v>2146</v>
      </c>
      <c r="F631" s="3">
        <v>1</v>
      </c>
    </row>
    <row r="632" spans="4:6">
      <c r="D632" t="s">
        <v>887</v>
      </c>
      <c r="E632" t="s">
        <v>1732</v>
      </c>
      <c r="F632" s="3">
        <v>1</v>
      </c>
    </row>
    <row r="633" spans="4:6">
      <c r="D633" t="s">
        <v>2147</v>
      </c>
      <c r="F633" s="3">
        <v>1</v>
      </c>
    </row>
    <row r="634" spans="4:6">
      <c r="D634" t="s">
        <v>639</v>
      </c>
      <c r="E634" t="s">
        <v>2148</v>
      </c>
      <c r="F634" s="3">
        <v>1</v>
      </c>
    </row>
    <row r="635" spans="4:6">
      <c r="D635" t="s">
        <v>2149</v>
      </c>
      <c r="F635" s="3">
        <v>1</v>
      </c>
    </row>
    <row r="636" spans="4:6">
      <c r="D636" t="s">
        <v>50</v>
      </c>
      <c r="E636" t="s">
        <v>1732</v>
      </c>
      <c r="F636" s="3">
        <v>1</v>
      </c>
    </row>
    <row r="637" spans="4:6">
      <c r="D637" t="s">
        <v>2150</v>
      </c>
      <c r="F637" s="3">
        <v>1</v>
      </c>
    </row>
    <row r="638" spans="4:6">
      <c r="D638" t="s">
        <v>136</v>
      </c>
      <c r="E638" t="s">
        <v>1732</v>
      </c>
      <c r="F638" s="3">
        <v>1</v>
      </c>
    </row>
    <row r="639" spans="4:6">
      <c r="D639" t="s">
        <v>2151</v>
      </c>
      <c r="F639" s="3">
        <v>1</v>
      </c>
    </row>
    <row r="640" spans="4:6">
      <c r="D640" t="s">
        <v>141</v>
      </c>
      <c r="E640" t="s">
        <v>1732</v>
      </c>
      <c r="F640" s="3">
        <v>1</v>
      </c>
    </row>
    <row r="641" spans="4:6">
      <c r="D641" t="s">
        <v>2152</v>
      </c>
      <c r="F641" s="3">
        <v>1</v>
      </c>
    </row>
    <row r="642" spans="4:6">
      <c r="D642" t="s">
        <v>454</v>
      </c>
      <c r="E642" t="s">
        <v>1853</v>
      </c>
      <c r="F642" s="3">
        <v>1</v>
      </c>
    </row>
    <row r="643" spans="4:6">
      <c r="D643" t="s">
        <v>2153</v>
      </c>
      <c r="F643" s="3">
        <v>1</v>
      </c>
    </row>
    <row r="644" spans="4:6">
      <c r="D644" t="s">
        <v>146</v>
      </c>
      <c r="E644" t="s">
        <v>2154</v>
      </c>
      <c r="F644" s="3">
        <v>1</v>
      </c>
    </row>
    <row r="645" spans="4:6">
      <c r="D645" t="s">
        <v>2155</v>
      </c>
      <c r="F645" s="3">
        <v>1</v>
      </c>
    </row>
    <row r="646" spans="4:6">
      <c r="D646" t="s">
        <v>93</v>
      </c>
      <c r="E646" t="s">
        <v>1732</v>
      </c>
      <c r="F646" s="3">
        <v>1</v>
      </c>
    </row>
    <row r="647" spans="4:6">
      <c r="D647" t="s">
        <v>2156</v>
      </c>
      <c r="F647" s="3">
        <v>1</v>
      </c>
    </row>
    <row r="648" spans="4:6">
      <c r="D648" t="s">
        <v>550</v>
      </c>
      <c r="E648" t="s">
        <v>1732</v>
      </c>
      <c r="F648" s="3">
        <v>1</v>
      </c>
    </row>
    <row r="649" spans="4:6">
      <c r="D649" t="s">
        <v>2157</v>
      </c>
      <c r="F649" s="3">
        <v>1</v>
      </c>
    </row>
    <row r="650" spans="4:6">
      <c r="D650" t="s">
        <v>282</v>
      </c>
      <c r="E650" t="s">
        <v>1732</v>
      </c>
      <c r="F650" s="3">
        <v>1</v>
      </c>
    </row>
    <row r="651" spans="4:6">
      <c r="D651" t="s">
        <v>2158</v>
      </c>
      <c r="F651" s="3">
        <v>1</v>
      </c>
    </row>
    <row r="652" spans="4:6">
      <c r="D652" t="s">
        <v>1184</v>
      </c>
      <c r="E652" t="s">
        <v>2159</v>
      </c>
      <c r="F652" s="3">
        <v>1</v>
      </c>
    </row>
    <row r="653" spans="4:6">
      <c r="D653" t="s">
        <v>2160</v>
      </c>
      <c r="F653" s="3">
        <v>1</v>
      </c>
    </row>
    <row r="654" spans="4:6">
      <c r="D654" t="s">
        <v>1056</v>
      </c>
      <c r="E654" t="s">
        <v>2161</v>
      </c>
      <c r="F654" s="3">
        <v>1</v>
      </c>
    </row>
    <row r="655" spans="4:6">
      <c r="D655" t="s">
        <v>2162</v>
      </c>
      <c r="F655" s="3">
        <v>1</v>
      </c>
    </row>
    <row r="656" spans="4:6">
      <c r="D656" t="s">
        <v>198</v>
      </c>
      <c r="E656" t="s">
        <v>2163</v>
      </c>
      <c r="F656" s="3">
        <v>1</v>
      </c>
    </row>
    <row r="657" spans="4:6">
      <c r="D657" t="s">
        <v>2164</v>
      </c>
      <c r="F657" s="3">
        <v>1</v>
      </c>
    </row>
    <row r="658" spans="4:6">
      <c r="D658" t="s">
        <v>500</v>
      </c>
      <c r="E658" t="s">
        <v>1732</v>
      </c>
      <c r="F658" s="3">
        <v>1</v>
      </c>
    </row>
    <row r="659" spans="4:6">
      <c r="D659" t="s">
        <v>2165</v>
      </c>
      <c r="F659" s="3">
        <v>1</v>
      </c>
    </row>
    <row r="660" spans="4:6">
      <c r="D660" t="s">
        <v>335</v>
      </c>
      <c r="E660" t="s">
        <v>1732</v>
      </c>
      <c r="F660" s="3">
        <v>1</v>
      </c>
    </row>
    <row r="661" spans="4:6">
      <c r="D661" t="s">
        <v>2166</v>
      </c>
      <c r="F661" s="3">
        <v>1</v>
      </c>
    </row>
    <row r="662" spans="4:6">
      <c r="D662" t="s">
        <v>1010</v>
      </c>
      <c r="E662" t="s">
        <v>1732</v>
      </c>
      <c r="F662" s="3">
        <v>1</v>
      </c>
    </row>
    <row r="663" spans="4:6">
      <c r="D663" t="s">
        <v>2167</v>
      </c>
      <c r="F663" s="3">
        <v>1</v>
      </c>
    </row>
    <row r="664" spans="4:6">
      <c r="D664" t="s">
        <v>974</v>
      </c>
      <c r="E664" t="s">
        <v>1927</v>
      </c>
      <c r="F664" s="3">
        <v>1</v>
      </c>
    </row>
    <row r="665" spans="4:6">
      <c r="D665" t="s">
        <v>2168</v>
      </c>
      <c r="F665" s="3">
        <v>1</v>
      </c>
    </row>
    <row r="666" spans="4:6">
      <c r="D666" t="s">
        <v>350</v>
      </c>
      <c r="E666" t="s">
        <v>2169</v>
      </c>
      <c r="F666" s="3">
        <v>1</v>
      </c>
    </row>
    <row r="667" spans="4:6">
      <c r="D667" t="s">
        <v>2170</v>
      </c>
      <c r="F667" s="3">
        <v>1</v>
      </c>
    </row>
    <row r="668" spans="4:6">
      <c r="D668" t="s">
        <v>504</v>
      </c>
      <c r="E668" t="s">
        <v>2169</v>
      </c>
      <c r="F668" s="3">
        <v>1</v>
      </c>
    </row>
    <row r="669" spans="4:6">
      <c r="D669" t="s">
        <v>2171</v>
      </c>
      <c r="F669" s="3">
        <v>1</v>
      </c>
    </row>
    <row r="670" spans="4:6">
      <c r="D670" t="s">
        <v>630</v>
      </c>
      <c r="E670" t="s">
        <v>2169</v>
      </c>
      <c r="F670" s="3">
        <v>1</v>
      </c>
    </row>
    <row r="671" spans="4:6">
      <c r="D671" t="s">
        <v>2172</v>
      </c>
      <c r="F671" s="3">
        <v>1</v>
      </c>
    </row>
    <row r="672" spans="4:6">
      <c r="D672" t="s">
        <v>1174</v>
      </c>
      <c r="E672" t="s">
        <v>2169</v>
      </c>
      <c r="F672" s="3">
        <v>1</v>
      </c>
    </row>
    <row r="673" spans="4:6">
      <c r="D673" t="s">
        <v>2173</v>
      </c>
      <c r="F673" s="3">
        <v>1</v>
      </c>
    </row>
    <row r="674" spans="4:6">
      <c r="D674" t="s">
        <v>123</v>
      </c>
      <c r="E674" t="s">
        <v>1732</v>
      </c>
      <c r="F674" s="3">
        <v>1</v>
      </c>
    </row>
    <row r="675" spans="4:6">
      <c r="D675" t="s">
        <v>2174</v>
      </c>
      <c r="F675" s="3">
        <v>1</v>
      </c>
    </row>
    <row r="676" spans="4:6">
      <c r="D676" t="s">
        <v>1246</v>
      </c>
      <c r="E676" t="s">
        <v>1732</v>
      </c>
      <c r="F676" s="3">
        <v>1</v>
      </c>
    </row>
    <row r="677" spans="4:6">
      <c r="D677" t="s">
        <v>2175</v>
      </c>
      <c r="F677" s="3">
        <v>1</v>
      </c>
    </row>
    <row r="678" spans="4:6">
      <c r="D678" t="s">
        <v>664</v>
      </c>
      <c r="E678" t="s">
        <v>1732</v>
      </c>
      <c r="F678" s="3">
        <v>1</v>
      </c>
    </row>
    <row r="679" spans="4:6">
      <c r="D679" t="s">
        <v>2176</v>
      </c>
      <c r="F679" s="3">
        <v>1</v>
      </c>
    </row>
    <row r="680" spans="4:6">
      <c r="D680" t="s">
        <v>371</v>
      </c>
      <c r="E680" t="s">
        <v>2177</v>
      </c>
      <c r="F680" s="3">
        <v>1</v>
      </c>
    </row>
    <row r="681" spans="4:6">
      <c r="D681" t="s">
        <v>2178</v>
      </c>
      <c r="F681" s="3">
        <v>1</v>
      </c>
    </row>
    <row r="682" spans="4:6">
      <c r="D682" t="s">
        <v>626</v>
      </c>
      <c r="E682" t="s">
        <v>2177</v>
      </c>
      <c r="F682" s="3">
        <v>1</v>
      </c>
    </row>
    <row r="683" spans="4:6">
      <c r="D683" t="s">
        <v>2179</v>
      </c>
      <c r="F683" s="3">
        <v>1</v>
      </c>
    </row>
    <row r="684" spans="4:6">
      <c r="D684" t="s">
        <v>827</v>
      </c>
      <c r="E684" t="s">
        <v>2177</v>
      </c>
      <c r="F684" s="3">
        <v>1</v>
      </c>
    </row>
    <row r="685" spans="4:6">
      <c r="D685" t="s">
        <v>2180</v>
      </c>
      <c r="F685" s="3">
        <v>1</v>
      </c>
    </row>
    <row r="686" spans="4:6">
      <c r="D686" t="s">
        <v>1078</v>
      </c>
      <c r="E686" t="s">
        <v>2177</v>
      </c>
      <c r="F686" s="3">
        <v>1</v>
      </c>
    </row>
    <row r="687" spans="4:6">
      <c r="D687" t="s">
        <v>2181</v>
      </c>
      <c r="F687" s="3">
        <v>1</v>
      </c>
    </row>
    <row r="688" spans="4:6">
      <c r="D688" t="s">
        <v>1084</v>
      </c>
      <c r="E688" t="s">
        <v>2182</v>
      </c>
      <c r="F688" s="3">
        <v>1</v>
      </c>
    </row>
    <row r="689" spans="4:6">
      <c r="D689" t="s">
        <v>2183</v>
      </c>
      <c r="F689" s="3">
        <v>1</v>
      </c>
    </row>
    <row r="690" spans="4:6">
      <c r="D690" t="s">
        <v>923</v>
      </c>
      <c r="E690" t="s">
        <v>1732</v>
      </c>
      <c r="F690" s="3">
        <v>1</v>
      </c>
    </row>
    <row r="691" spans="4:6">
      <c r="D691" t="s">
        <v>2184</v>
      </c>
      <c r="F691" s="3">
        <v>1</v>
      </c>
    </row>
    <row r="692" spans="4:6">
      <c r="D692" t="s">
        <v>602</v>
      </c>
      <c r="E692" t="s">
        <v>2185</v>
      </c>
      <c r="F692" s="3">
        <v>1</v>
      </c>
    </row>
    <row r="693" spans="4:6">
      <c r="D693" t="s">
        <v>2186</v>
      </c>
      <c r="F693" s="3">
        <v>1</v>
      </c>
    </row>
    <row r="694" spans="4:6">
      <c r="D694" t="s">
        <v>1151</v>
      </c>
      <c r="E694" t="s">
        <v>1732</v>
      </c>
      <c r="F694" s="3">
        <v>1</v>
      </c>
    </row>
    <row r="695" spans="4:6">
      <c r="D695" t="s">
        <v>2187</v>
      </c>
      <c r="F695" s="3">
        <v>1</v>
      </c>
    </row>
    <row r="696" spans="4:6">
      <c r="D696" t="s">
        <v>1030</v>
      </c>
      <c r="E696" t="s">
        <v>1732</v>
      </c>
      <c r="F696" s="3">
        <v>1</v>
      </c>
    </row>
    <row r="697" spans="4:6">
      <c r="D697" t="s">
        <v>2188</v>
      </c>
      <c r="F697" s="3">
        <v>1</v>
      </c>
    </row>
    <row r="698" spans="4:6">
      <c r="D698" t="s">
        <v>514</v>
      </c>
      <c r="E698" t="s">
        <v>2189</v>
      </c>
      <c r="F698" s="3">
        <v>1</v>
      </c>
    </row>
    <row r="699" spans="4:6">
      <c r="D699" t="s">
        <v>2190</v>
      </c>
      <c r="F699" s="3">
        <v>1</v>
      </c>
    </row>
    <row r="700" spans="4:6">
      <c r="D700" t="s">
        <v>1221</v>
      </c>
      <c r="E700" t="s">
        <v>1732</v>
      </c>
      <c r="F700" s="3">
        <v>1</v>
      </c>
    </row>
    <row r="701" spans="4:6">
      <c r="D701" t="s">
        <v>2191</v>
      </c>
      <c r="F701" s="3">
        <v>1</v>
      </c>
    </row>
    <row r="702" spans="4:6">
      <c r="D702" t="s">
        <v>815</v>
      </c>
      <c r="E702" t="s">
        <v>2192</v>
      </c>
      <c r="F702" s="3">
        <v>1</v>
      </c>
    </row>
    <row r="703" spans="4:6">
      <c r="D703" t="s">
        <v>2193</v>
      </c>
      <c r="F703" s="3">
        <v>1</v>
      </c>
    </row>
    <row r="704" spans="4:6">
      <c r="D704" t="s">
        <v>785</v>
      </c>
      <c r="E704" t="s">
        <v>1732</v>
      </c>
      <c r="F704" s="3">
        <v>1</v>
      </c>
    </row>
    <row r="705" spans="4:6">
      <c r="D705" t="s">
        <v>2194</v>
      </c>
      <c r="F705" s="3">
        <v>1</v>
      </c>
    </row>
    <row r="706" spans="4:6">
      <c r="D706" t="s">
        <v>576</v>
      </c>
      <c r="E706" t="s">
        <v>1732</v>
      </c>
      <c r="F706" s="3">
        <v>1</v>
      </c>
    </row>
    <row r="707" spans="4:6">
      <c r="D707" t="s">
        <v>2195</v>
      </c>
      <c r="F707" s="3">
        <v>1</v>
      </c>
    </row>
    <row r="708" spans="4:6">
      <c r="D708" t="s">
        <v>1226</v>
      </c>
      <c r="E708" t="s">
        <v>1732</v>
      </c>
      <c r="F708" s="3">
        <v>1</v>
      </c>
    </row>
    <row r="709" spans="4:6">
      <c r="D709" t="s">
        <v>2196</v>
      </c>
      <c r="F709" s="3">
        <v>1</v>
      </c>
    </row>
    <row r="710" spans="4:6">
      <c r="D710" t="s">
        <v>979</v>
      </c>
      <c r="E710" t="s">
        <v>1732</v>
      </c>
      <c r="F710" s="3">
        <v>1</v>
      </c>
    </row>
    <row r="711" spans="4:6">
      <c r="D711" t="s">
        <v>2197</v>
      </c>
      <c r="F711" s="3">
        <v>1</v>
      </c>
    </row>
    <row r="712" spans="4:6">
      <c r="D712" t="s">
        <v>1568</v>
      </c>
      <c r="E712" t="s">
        <v>1732</v>
      </c>
      <c r="F712" s="3">
        <v>1</v>
      </c>
    </row>
    <row r="713" spans="4:6">
      <c r="D713" t="s">
        <v>2198</v>
      </c>
      <c r="F713" s="3">
        <v>1</v>
      </c>
    </row>
    <row r="714" spans="4:6">
      <c r="D714" t="s">
        <v>286</v>
      </c>
      <c r="E714" t="s">
        <v>1732</v>
      </c>
      <c r="F714" s="3">
        <v>1</v>
      </c>
    </row>
    <row r="715" spans="4:6">
      <c r="D715" t="s">
        <v>2199</v>
      </c>
      <c r="F715" s="3">
        <v>1</v>
      </c>
    </row>
    <row r="716" spans="4:6">
      <c r="D716" t="s">
        <v>404</v>
      </c>
      <c r="E716" t="s">
        <v>1732</v>
      </c>
      <c r="F716" s="3">
        <v>1</v>
      </c>
    </row>
    <row r="717" spans="4:6">
      <c r="D717" t="s">
        <v>2200</v>
      </c>
      <c r="F717" s="3">
        <v>1</v>
      </c>
    </row>
    <row r="718" spans="4:6">
      <c r="D718" t="s">
        <v>669</v>
      </c>
      <c r="E718" t="s">
        <v>1732</v>
      </c>
      <c r="F718" s="3">
        <v>1</v>
      </c>
    </row>
    <row r="719" spans="4:6">
      <c r="D719" t="s">
        <v>2201</v>
      </c>
      <c r="F719" s="3">
        <v>1</v>
      </c>
    </row>
    <row r="720" spans="4:6">
      <c r="D720" t="s">
        <v>906</v>
      </c>
      <c r="E720" t="s">
        <v>1732</v>
      </c>
      <c r="F720" s="3">
        <v>1</v>
      </c>
    </row>
    <row r="721" spans="4:6">
      <c r="D721" t="s">
        <v>2202</v>
      </c>
      <c r="F721" s="3">
        <v>1</v>
      </c>
    </row>
    <row r="722" spans="4:6">
      <c r="D722" t="s">
        <v>903</v>
      </c>
      <c r="E722" t="s">
        <v>1732</v>
      </c>
      <c r="F722" s="3">
        <v>1</v>
      </c>
    </row>
    <row r="723" spans="4:6">
      <c r="D723" t="s">
        <v>2203</v>
      </c>
      <c r="F723" s="3">
        <v>1</v>
      </c>
    </row>
    <row r="724" spans="4:6">
      <c r="D724" t="s">
        <v>892</v>
      </c>
      <c r="E724" t="s">
        <v>1732</v>
      </c>
      <c r="F724" s="3">
        <v>1</v>
      </c>
    </row>
    <row r="725" spans="4:6">
      <c r="D725" t="s">
        <v>2204</v>
      </c>
      <c r="F725" s="3">
        <v>1</v>
      </c>
    </row>
    <row r="726" spans="4:6">
      <c r="D726" t="s">
        <v>900</v>
      </c>
      <c r="E726" t="s">
        <v>1732</v>
      </c>
      <c r="F726" s="3">
        <v>1</v>
      </c>
    </row>
    <row r="727" spans="4:6">
      <c r="D727" t="s">
        <v>2205</v>
      </c>
      <c r="F727" s="3">
        <v>1</v>
      </c>
    </row>
    <row r="728" spans="4:6">
      <c r="D728" t="s">
        <v>1034</v>
      </c>
      <c r="E728" t="s">
        <v>2206</v>
      </c>
      <c r="F728" s="3">
        <v>1</v>
      </c>
    </row>
    <row r="729" spans="4:6">
      <c r="D729" t="s">
        <v>2207</v>
      </c>
      <c r="F729" s="3">
        <v>1</v>
      </c>
    </row>
    <row r="730" spans="4:6">
      <c r="D730" t="s">
        <v>1118</v>
      </c>
      <c r="E730" t="s">
        <v>1732</v>
      </c>
      <c r="F730" s="3">
        <v>1</v>
      </c>
    </row>
    <row r="731" spans="4:6">
      <c r="D731" t="s">
        <v>2208</v>
      </c>
      <c r="F731" s="3">
        <v>1</v>
      </c>
    </row>
    <row r="732" spans="4:6">
      <c r="D732" t="s">
        <v>1527</v>
      </c>
      <c r="E732" t="s">
        <v>1732</v>
      </c>
      <c r="F732" s="3">
        <v>1</v>
      </c>
    </row>
    <row r="733" spans="4:6">
      <c r="D733" t="s">
        <v>2209</v>
      </c>
      <c r="F733" s="3">
        <v>1</v>
      </c>
    </row>
    <row r="734" spans="4:6">
      <c r="D734" t="s">
        <v>1540</v>
      </c>
      <c r="E734" t="s">
        <v>1732</v>
      </c>
      <c r="F734" s="3">
        <v>1</v>
      </c>
    </row>
    <row r="735" spans="4:6">
      <c r="D735" t="s">
        <v>2210</v>
      </c>
      <c r="F735" s="3">
        <v>1</v>
      </c>
    </row>
    <row r="736" spans="4:6">
      <c r="D736" t="s">
        <v>1735</v>
      </c>
      <c r="F736" s="3">
        <v>379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D8A5-8DD8-4002-AB5A-0D7CA5C59AF7}">
  <dimension ref="C2:G5"/>
  <sheetViews>
    <sheetView workbookViewId="0">
      <selection activeCell="C2" sqref="C2"/>
    </sheetView>
  </sheetViews>
  <sheetFormatPr defaultRowHeight="15"/>
  <cols>
    <col min="3" max="3" width="24.28515625" bestFit="1" customWidth="1"/>
    <col min="4" max="4" width="33.85546875" customWidth="1"/>
    <col min="5" max="5" width="14.140625" bestFit="1" customWidth="1"/>
    <col min="6" max="6" width="18.28515625" bestFit="1" customWidth="1"/>
    <col min="7" max="7" width="11.140625" bestFit="1" customWidth="1"/>
  </cols>
  <sheetData>
    <row r="2" spans="3:7">
      <c r="C2" s="2" t="s">
        <v>2211</v>
      </c>
      <c r="D2" s="2" t="s">
        <v>1731</v>
      </c>
    </row>
    <row r="3" spans="3:7">
      <c r="C3" s="2" t="s">
        <v>0</v>
      </c>
      <c r="D3" t="s">
        <v>1732</v>
      </c>
      <c r="E3" t="s">
        <v>1733</v>
      </c>
      <c r="F3" t="s">
        <v>1734</v>
      </c>
      <c r="G3" t="s">
        <v>1735</v>
      </c>
    </row>
    <row r="4" spans="3:7">
      <c r="C4" t="s">
        <v>16</v>
      </c>
      <c r="D4" s="3">
        <v>47</v>
      </c>
      <c r="E4" s="3">
        <v>88</v>
      </c>
      <c r="F4" s="3">
        <v>244</v>
      </c>
      <c r="G4" s="3">
        <v>379</v>
      </c>
    </row>
    <row r="5" spans="3:7">
      <c r="C5" t="s">
        <v>1735</v>
      </c>
      <c r="D5" s="3">
        <v>47</v>
      </c>
      <c r="E5" s="3">
        <v>88</v>
      </c>
      <c r="F5" s="3">
        <v>244</v>
      </c>
      <c r="G5" s="3">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Anuj More</dc:creator>
  <cp:keywords/>
  <dc:description/>
  <cp:lastModifiedBy/>
  <cp:revision/>
  <dcterms:created xsi:type="dcterms:W3CDTF">2025-11-17T11:58:15Z</dcterms:created>
  <dcterms:modified xsi:type="dcterms:W3CDTF">2025-11-21T03:18:38Z</dcterms:modified>
  <cp:category/>
  <cp:contentStatus/>
</cp:coreProperties>
</file>